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aremail-my.sharepoint.com/personal/tales_yamamoto_unitar_org/Documents/FutuRaM/T4.3/IntegratedModel/data/test_fewer_layers/"/>
    </mc:Choice>
  </mc:AlternateContent>
  <xr:revisionPtr revIDLastSave="24" documentId="8_{A211DF73-5B47-476A-A477-114AD80236EF}" xr6:coauthVersionLast="47" xr6:coauthVersionMax="47" xr10:uidLastSave="{C5110D5F-718D-433B-936F-B009688877D5}"/>
  <bookViews>
    <workbookView xWindow="12510" yWindow="0" windowWidth="16290" windowHeight="15600" xr2:uid="{8DD5E7D2-9972-498C-AEC7-33968A27D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X4" i="1"/>
  <c r="X3" i="1"/>
  <c r="L6" i="1"/>
  <c r="X2" i="1"/>
  <c r="L8" i="1"/>
  <c r="L19" i="1"/>
  <c r="L18" i="1"/>
  <c r="L17" i="1"/>
  <c r="L16" i="1"/>
  <c r="L15" i="1"/>
  <c r="L14" i="1"/>
  <c r="L13" i="1"/>
  <c r="L12" i="1"/>
  <c r="L11" i="1"/>
  <c r="L10" i="1"/>
  <c r="L9" i="1"/>
  <c r="X13" i="1"/>
  <c r="X12" i="1"/>
  <c r="X11" i="1"/>
  <c r="X10" i="1"/>
  <c r="X9" i="1"/>
  <c r="X8" i="1"/>
  <c r="X7" i="1"/>
  <c r="X6" i="1"/>
  <c r="L3" i="1"/>
  <c r="L4" i="1"/>
  <c r="L5" i="1"/>
  <c r="L7" i="1"/>
  <c r="L2" i="1"/>
</calcChain>
</file>

<file path=xl/sharedStrings.xml><?xml version="1.0" encoding="utf-8"?>
<sst xmlns="http://schemas.openxmlformats.org/spreadsheetml/2006/main" count="336" uniqueCount="44">
  <si>
    <t>Year</t>
  </si>
  <si>
    <t>Stock/Flow ID</t>
  </si>
  <si>
    <t>Layer 1</t>
  </si>
  <si>
    <t>Layer 2</t>
  </si>
  <si>
    <t>Layer 3</t>
  </si>
  <si>
    <t>Value</t>
  </si>
  <si>
    <t>parameterCode</t>
  </si>
  <si>
    <t>F1</t>
  </si>
  <si>
    <t>P1</t>
  </si>
  <si>
    <t>C1</t>
  </si>
  <si>
    <t>c-p</t>
  </si>
  <si>
    <t>C2</t>
  </si>
  <si>
    <t>C3</t>
  </si>
  <si>
    <t>P2</t>
  </si>
  <si>
    <t>M1</t>
  </si>
  <si>
    <t>m-c</t>
  </si>
  <si>
    <t>M2</t>
  </si>
  <si>
    <t>Substance_main_parent</t>
  </si>
  <si>
    <t>Unit</t>
  </si>
  <si>
    <t>Mg</t>
  </si>
  <si>
    <t>Mass</t>
  </si>
  <si>
    <t>input_flow</t>
  </si>
  <si>
    <t>input_layer</t>
  </si>
  <si>
    <t>input_layer_key</t>
  </si>
  <si>
    <t>input_sub_layer</t>
  </si>
  <si>
    <t>input_sub_layer_key</t>
  </si>
  <si>
    <t>output_flow</t>
  </si>
  <si>
    <t>output_layer</t>
  </si>
  <si>
    <t>output_target_key</t>
  </si>
  <si>
    <t>value</t>
  </si>
  <si>
    <t>process</t>
  </si>
  <si>
    <t>product</t>
  </si>
  <si>
    <t>F2</t>
  </si>
  <si>
    <t>component</t>
  </si>
  <si>
    <t>T1</t>
  </si>
  <si>
    <t>F3</t>
  </si>
  <si>
    <t>F6</t>
  </si>
  <si>
    <t>F4</t>
  </si>
  <si>
    <t>T2</t>
  </si>
  <si>
    <t>F5</t>
  </si>
  <si>
    <t>material</t>
  </si>
  <si>
    <t>T4</t>
  </si>
  <si>
    <t>F7</t>
  </si>
  <si>
    <t>model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</si>
</sst>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ED04-32A7-42B9-988F-281707D2ED27}">
  <dimension ref="A1:AA26"/>
  <sheetViews>
    <sheetView tabSelected="1" zoomScale="80" zoomScaleNormal="80" workbookViewId="0">
      <selection activeCell="X5" sqref="X5"/>
    </sheetView>
  </sheetViews>
  <sheetFormatPr defaultRowHeight="14.4" x14ac:dyDescent="0.3"/>
  <cols>
    <col min="5" max="5" width="8.88671875" customWidth="1"/>
    <col min="6" max="11" width="8.88671875" hidden="1" customWidth="1"/>
    <col min="12" max="12" width="8.88671875" customWidth="1"/>
    <col min="17" max="18" width="0" hidden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</v>
      </c>
      <c r="I1" t="s">
        <v>17</v>
      </c>
      <c r="J1" t="s">
        <v>5</v>
      </c>
      <c r="K1" t="s">
        <v>18</v>
      </c>
      <c r="L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Z1" t="s">
        <v>43</v>
      </c>
    </row>
    <row r="2" spans="1:27" x14ac:dyDescent="0.3">
      <c r="A2">
        <v>2020</v>
      </c>
      <c r="B2" t="s">
        <v>7</v>
      </c>
      <c r="C2" t="s">
        <v>8</v>
      </c>
      <c r="D2" t="s">
        <v>9</v>
      </c>
      <c r="F2">
        <v>0.25</v>
      </c>
      <c r="G2" t="s">
        <v>10</v>
      </c>
      <c r="H2" t="s">
        <v>7</v>
      </c>
      <c r="I2" t="s">
        <v>8</v>
      </c>
      <c r="J2">
        <v>1000</v>
      </c>
      <c r="K2" t="s">
        <v>19</v>
      </c>
      <c r="L2">
        <f>F2*J2</f>
        <v>250</v>
      </c>
      <c r="N2" t="s">
        <v>7</v>
      </c>
      <c r="O2" t="s">
        <v>31</v>
      </c>
      <c r="P2" t="s">
        <v>8</v>
      </c>
      <c r="S2" t="s">
        <v>32</v>
      </c>
      <c r="T2" t="s">
        <v>33</v>
      </c>
      <c r="U2" t="s">
        <v>9</v>
      </c>
      <c r="V2">
        <v>0.25</v>
      </c>
      <c r="W2" t="s">
        <v>34</v>
      </c>
      <c r="X2">
        <f>V2*L2</f>
        <v>62.5</v>
      </c>
    </row>
    <row r="3" spans="1:27" x14ac:dyDescent="0.3">
      <c r="A3">
        <v>2020</v>
      </c>
      <c r="B3" t="s">
        <v>7</v>
      </c>
      <c r="C3" t="s">
        <v>8</v>
      </c>
      <c r="D3" t="s">
        <v>11</v>
      </c>
      <c r="F3">
        <v>0.59</v>
      </c>
      <c r="G3" t="s">
        <v>10</v>
      </c>
      <c r="H3" t="s">
        <v>7</v>
      </c>
      <c r="I3" t="s">
        <v>8</v>
      </c>
      <c r="J3">
        <v>1000</v>
      </c>
      <c r="K3" t="s">
        <v>19</v>
      </c>
      <c r="L3">
        <f t="shared" ref="L3:L19" si="0">F3*J3</f>
        <v>590</v>
      </c>
      <c r="N3" t="s">
        <v>7</v>
      </c>
      <c r="O3" t="s">
        <v>31</v>
      </c>
      <c r="P3" t="s">
        <v>8</v>
      </c>
      <c r="S3" t="s">
        <v>32</v>
      </c>
      <c r="T3" t="s">
        <v>33</v>
      </c>
      <c r="U3" t="s">
        <v>11</v>
      </c>
      <c r="V3">
        <v>0.04</v>
      </c>
      <c r="W3" t="s">
        <v>34</v>
      </c>
      <c r="X3" s="1">
        <f>V3*L3</f>
        <v>23.6</v>
      </c>
      <c r="Z3">
        <v>27.76</v>
      </c>
      <c r="AA3" s="1"/>
    </row>
    <row r="4" spans="1:27" x14ac:dyDescent="0.3">
      <c r="A4">
        <v>2020</v>
      </c>
      <c r="B4" t="s">
        <v>7</v>
      </c>
      <c r="C4" t="s">
        <v>8</v>
      </c>
      <c r="D4" t="s">
        <v>12</v>
      </c>
      <c r="F4">
        <v>0.16</v>
      </c>
      <c r="G4" t="s">
        <v>10</v>
      </c>
      <c r="H4" t="s">
        <v>7</v>
      </c>
      <c r="I4" t="s">
        <v>8</v>
      </c>
      <c r="J4">
        <v>1000</v>
      </c>
      <c r="K4" t="s">
        <v>19</v>
      </c>
      <c r="L4">
        <f t="shared" si="0"/>
        <v>160</v>
      </c>
      <c r="N4" t="s">
        <v>7</v>
      </c>
      <c r="O4" t="s">
        <v>31</v>
      </c>
      <c r="P4" t="s">
        <v>13</v>
      </c>
      <c r="S4" t="s">
        <v>32</v>
      </c>
      <c r="T4" t="s">
        <v>33</v>
      </c>
      <c r="U4" t="s">
        <v>9</v>
      </c>
      <c r="V4">
        <v>0.08</v>
      </c>
      <c r="W4" t="s">
        <v>34</v>
      </c>
      <c r="X4">
        <f>V4*L5</f>
        <v>24.080000000000002</v>
      </c>
    </row>
    <row r="5" spans="1:27" x14ac:dyDescent="0.3">
      <c r="A5">
        <v>2020</v>
      </c>
      <c r="B5" t="s">
        <v>7</v>
      </c>
      <c r="C5" t="s">
        <v>13</v>
      </c>
      <c r="D5" t="s">
        <v>9</v>
      </c>
      <c r="F5">
        <v>0.43</v>
      </c>
      <c r="G5" t="s">
        <v>10</v>
      </c>
      <c r="H5" t="s">
        <v>7</v>
      </c>
      <c r="I5" t="s">
        <v>13</v>
      </c>
      <c r="J5">
        <v>700</v>
      </c>
      <c r="K5" t="s">
        <v>19</v>
      </c>
      <c r="L5">
        <f t="shared" si="0"/>
        <v>301</v>
      </c>
      <c r="N5" t="s">
        <v>7</v>
      </c>
      <c r="O5" t="s">
        <v>31</v>
      </c>
      <c r="P5" t="s">
        <v>13</v>
      </c>
      <c r="S5" t="s">
        <v>32</v>
      </c>
      <c r="T5" t="s">
        <v>33</v>
      </c>
      <c r="U5" t="s">
        <v>11</v>
      </c>
      <c r="V5">
        <v>0.44</v>
      </c>
      <c r="W5" t="s">
        <v>34</v>
      </c>
      <c r="X5" s="1">
        <f>V5*L6</f>
        <v>21.560000000000002</v>
      </c>
      <c r="Z5">
        <v>23.81</v>
      </c>
    </row>
    <row r="6" spans="1:27" x14ac:dyDescent="0.3">
      <c r="A6">
        <v>2020</v>
      </c>
      <c r="B6" t="s">
        <v>7</v>
      </c>
      <c r="C6" t="s">
        <v>13</v>
      </c>
      <c r="D6" t="s">
        <v>11</v>
      </c>
      <c r="F6">
        <v>7.0000000000000007E-2</v>
      </c>
      <c r="G6" t="s">
        <v>10</v>
      </c>
      <c r="H6" t="s">
        <v>7</v>
      </c>
      <c r="I6" t="s">
        <v>13</v>
      </c>
      <c r="J6">
        <v>700</v>
      </c>
      <c r="K6" t="s">
        <v>19</v>
      </c>
      <c r="L6">
        <f>F6*J6</f>
        <v>49.000000000000007</v>
      </c>
      <c r="N6" t="s">
        <v>7</v>
      </c>
      <c r="O6" t="s">
        <v>31</v>
      </c>
      <c r="P6" t="s">
        <v>8</v>
      </c>
      <c r="S6" t="s">
        <v>35</v>
      </c>
      <c r="T6" t="s">
        <v>33</v>
      </c>
      <c r="U6" t="s">
        <v>11</v>
      </c>
      <c r="V6">
        <v>0.04</v>
      </c>
      <c r="W6" t="s">
        <v>34</v>
      </c>
      <c r="X6">
        <f>V6*L3</f>
        <v>23.6</v>
      </c>
    </row>
    <row r="7" spans="1:27" x14ac:dyDescent="0.3">
      <c r="A7">
        <v>2020</v>
      </c>
      <c r="B7" t="s">
        <v>7</v>
      </c>
      <c r="C7" t="s">
        <v>13</v>
      </c>
      <c r="D7" t="s">
        <v>12</v>
      </c>
      <c r="F7">
        <v>0.5</v>
      </c>
      <c r="G7" t="s">
        <v>10</v>
      </c>
      <c r="H7" t="s">
        <v>7</v>
      </c>
      <c r="I7" t="s">
        <v>13</v>
      </c>
      <c r="J7">
        <v>700</v>
      </c>
      <c r="K7" t="s">
        <v>19</v>
      </c>
      <c r="L7">
        <f t="shared" si="0"/>
        <v>350</v>
      </c>
      <c r="N7" t="s">
        <v>7</v>
      </c>
      <c r="O7" t="s">
        <v>31</v>
      </c>
      <c r="P7" t="s">
        <v>8</v>
      </c>
      <c r="S7" t="s">
        <v>35</v>
      </c>
      <c r="T7" t="s">
        <v>33</v>
      </c>
      <c r="U7" t="s">
        <v>12</v>
      </c>
      <c r="V7">
        <v>0.08</v>
      </c>
      <c r="W7" t="s">
        <v>34</v>
      </c>
      <c r="X7">
        <f>V7*L4</f>
        <v>12.8</v>
      </c>
    </row>
    <row r="8" spans="1:27" x14ac:dyDescent="0.3">
      <c r="A8">
        <v>2020</v>
      </c>
      <c r="B8" t="s">
        <v>7</v>
      </c>
      <c r="C8" t="s">
        <v>8</v>
      </c>
      <c r="D8" t="s">
        <v>9</v>
      </c>
      <c r="E8" t="s">
        <v>14</v>
      </c>
      <c r="F8">
        <v>0.52</v>
      </c>
      <c r="G8" t="s">
        <v>15</v>
      </c>
      <c r="H8" t="s">
        <v>7</v>
      </c>
      <c r="I8" t="s">
        <v>8</v>
      </c>
      <c r="J8">
        <v>1000</v>
      </c>
      <c r="K8" t="s">
        <v>19</v>
      </c>
      <c r="L8">
        <f>F8*L2</f>
        <v>130</v>
      </c>
      <c r="N8" t="s">
        <v>7</v>
      </c>
      <c r="O8" t="s">
        <v>31</v>
      </c>
      <c r="P8" t="s">
        <v>13</v>
      </c>
      <c r="S8" t="s">
        <v>35</v>
      </c>
      <c r="T8" t="s">
        <v>33</v>
      </c>
      <c r="U8" t="s">
        <v>11</v>
      </c>
      <c r="V8">
        <v>0.22</v>
      </c>
      <c r="W8" t="s">
        <v>34</v>
      </c>
      <c r="X8">
        <f>V8*L6</f>
        <v>10.780000000000001</v>
      </c>
    </row>
    <row r="9" spans="1:27" x14ac:dyDescent="0.3">
      <c r="A9">
        <v>2020</v>
      </c>
      <c r="B9" t="s">
        <v>7</v>
      </c>
      <c r="C9" t="s">
        <v>8</v>
      </c>
      <c r="D9" t="s">
        <v>9</v>
      </c>
      <c r="E9" t="s">
        <v>16</v>
      </c>
      <c r="F9">
        <v>0.48</v>
      </c>
      <c r="G9" t="s">
        <v>15</v>
      </c>
      <c r="H9" t="s">
        <v>7</v>
      </c>
      <c r="I9" t="s">
        <v>8</v>
      </c>
      <c r="J9">
        <v>1000</v>
      </c>
      <c r="K9" t="s">
        <v>19</v>
      </c>
      <c r="L9">
        <f>F9*L2</f>
        <v>120</v>
      </c>
      <c r="N9" t="s">
        <v>7</v>
      </c>
      <c r="O9" t="s">
        <v>31</v>
      </c>
      <c r="P9" t="s">
        <v>13</v>
      </c>
      <c r="S9" t="s">
        <v>35</v>
      </c>
      <c r="T9" t="s">
        <v>33</v>
      </c>
      <c r="U9" t="s">
        <v>12</v>
      </c>
      <c r="V9">
        <v>0</v>
      </c>
      <c r="W9" t="s">
        <v>34</v>
      </c>
      <c r="X9">
        <f>V9*L7</f>
        <v>0</v>
      </c>
    </row>
    <row r="10" spans="1:27" x14ac:dyDescent="0.3">
      <c r="A10">
        <v>2020</v>
      </c>
      <c r="B10" t="s">
        <v>7</v>
      </c>
      <c r="C10" t="s">
        <v>8</v>
      </c>
      <c r="D10" t="s">
        <v>11</v>
      </c>
      <c r="E10" t="s">
        <v>14</v>
      </c>
      <c r="F10">
        <v>0.66</v>
      </c>
      <c r="G10" t="s">
        <v>15</v>
      </c>
      <c r="H10" t="s">
        <v>7</v>
      </c>
      <c r="I10" t="s">
        <v>8</v>
      </c>
      <c r="J10">
        <v>1000</v>
      </c>
      <c r="K10" t="s">
        <v>19</v>
      </c>
      <c r="L10">
        <f>F10*L3</f>
        <v>389.40000000000003</v>
      </c>
      <c r="N10" t="s">
        <v>36</v>
      </c>
      <c r="O10" t="s">
        <v>33</v>
      </c>
      <c r="P10" t="s">
        <v>11</v>
      </c>
      <c r="S10" t="s">
        <v>32</v>
      </c>
      <c r="T10" t="s">
        <v>33</v>
      </c>
      <c r="U10" t="s">
        <v>11</v>
      </c>
      <c r="V10">
        <v>0.37</v>
      </c>
      <c r="W10" t="s">
        <v>34</v>
      </c>
      <c r="X10">
        <f>V10*(X3+X5)</f>
        <v>16.709200000000003</v>
      </c>
    </row>
    <row r="11" spans="1:27" x14ac:dyDescent="0.3">
      <c r="A11">
        <v>2020</v>
      </c>
      <c r="B11" t="s">
        <v>7</v>
      </c>
      <c r="C11" t="s">
        <v>8</v>
      </c>
      <c r="D11" t="s">
        <v>11</v>
      </c>
      <c r="E11" t="s">
        <v>16</v>
      </c>
      <c r="F11">
        <v>0.34</v>
      </c>
      <c r="G11" t="s">
        <v>15</v>
      </c>
      <c r="H11" t="s">
        <v>7</v>
      </c>
      <c r="I11" t="s">
        <v>8</v>
      </c>
      <c r="J11">
        <v>1000</v>
      </c>
      <c r="K11" t="s">
        <v>19</v>
      </c>
      <c r="L11">
        <f>F11*L3</f>
        <v>200.60000000000002</v>
      </c>
      <c r="N11" t="s">
        <v>36</v>
      </c>
      <c r="O11" t="s">
        <v>33</v>
      </c>
      <c r="P11" t="s">
        <v>11</v>
      </c>
      <c r="S11" t="s">
        <v>35</v>
      </c>
      <c r="T11" t="s">
        <v>33</v>
      </c>
      <c r="U11" t="s">
        <v>11</v>
      </c>
      <c r="V11">
        <v>0.28999999999999998</v>
      </c>
      <c r="W11" t="s">
        <v>34</v>
      </c>
      <c r="X11">
        <f>V11*(X6+X8)</f>
        <v>9.9702000000000002</v>
      </c>
    </row>
    <row r="12" spans="1:27" x14ac:dyDescent="0.3">
      <c r="A12">
        <v>2020</v>
      </c>
      <c r="B12" t="s">
        <v>7</v>
      </c>
      <c r="C12" t="s">
        <v>8</v>
      </c>
      <c r="D12" t="s">
        <v>12</v>
      </c>
      <c r="E12" t="s">
        <v>14</v>
      </c>
      <c r="F12">
        <v>0.49</v>
      </c>
      <c r="G12" t="s">
        <v>15</v>
      </c>
      <c r="H12" t="s">
        <v>7</v>
      </c>
      <c r="I12" t="s">
        <v>8</v>
      </c>
      <c r="J12">
        <v>1000</v>
      </c>
      <c r="K12" t="s">
        <v>19</v>
      </c>
      <c r="L12">
        <f>F12*L4</f>
        <v>78.400000000000006</v>
      </c>
      <c r="N12" t="s">
        <v>36</v>
      </c>
      <c r="O12" t="s">
        <v>33</v>
      </c>
      <c r="P12" t="s">
        <v>12</v>
      </c>
      <c r="S12" t="s">
        <v>35</v>
      </c>
      <c r="T12" t="s">
        <v>33</v>
      </c>
      <c r="U12" t="s">
        <v>12</v>
      </c>
      <c r="V12">
        <v>0.13</v>
      </c>
      <c r="W12" t="s">
        <v>34</v>
      </c>
      <c r="X12">
        <f>V12*(X7+X9)</f>
        <v>1.6640000000000001</v>
      </c>
    </row>
    <row r="13" spans="1:27" x14ac:dyDescent="0.3">
      <c r="A13">
        <v>2020</v>
      </c>
      <c r="B13" t="s">
        <v>7</v>
      </c>
      <c r="C13" t="s">
        <v>8</v>
      </c>
      <c r="D13" t="s">
        <v>12</v>
      </c>
      <c r="E13" t="s">
        <v>16</v>
      </c>
      <c r="F13">
        <v>0.51</v>
      </c>
      <c r="G13" t="s">
        <v>15</v>
      </c>
      <c r="H13" t="s">
        <v>7</v>
      </c>
      <c r="I13" t="s">
        <v>8</v>
      </c>
      <c r="J13">
        <v>1000</v>
      </c>
      <c r="K13" t="s">
        <v>19</v>
      </c>
      <c r="L13">
        <f>F13*L4</f>
        <v>81.599999999999994</v>
      </c>
      <c r="N13" t="s">
        <v>32</v>
      </c>
      <c r="O13" t="s">
        <v>33</v>
      </c>
      <c r="P13" t="s">
        <v>11</v>
      </c>
      <c r="S13" t="s">
        <v>37</v>
      </c>
      <c r="T13" t="s">
        <v>33</v>
      </c>
      <c r="U13" t="s">
        <v>11</v>
      </c>
      <c r="V13">
        <v>0.2</v>
      </c>
      <c r="W13" t="s">
        <v>38</v>
      </c>
      <c r="X13">
        <f>V13*(X3+X5)</f>
        <v>9.0320000000000018</v>
      </c>
    </row>
    <row r="14" spans="1:27" x14ac:dyDescent="0.3">
      <c r="A14">
        <v>2020</v>
      </c>
      <c r="B14" t="s">
        <v>7</v>
      </c>
      <c r="C14" t="s">
        <v>13</v>
      </c>
      <c r="D14" t="s">
        <v>9</v>
      </c>
      <c r="E14" t="s">
        <v>14</v>
      </c>
      <c r="F14">
        <v>0.52</v>
      </c>
      <c r="G14" t="s">
        <v>15</v>
      </c>
      <c r="H14" t="s">
        <v>7</v>
      </c>
      <c r="I14" t="s">
        <v>13</v>
      </c>
      <c r="J14">
        <v>700</v>
      </c>
      <c r="K14" t="s">
        <v>19</v>
      </c>
      <c r="L14">
        <f>F14*L5</f>
        <v>156.52000000000001</v>
      </c>
      <c r="N14" t="s">
        <v>32</v>
      </c>
      <c r="O14" t="s">
        <v>33</v>
      </c>
      <c r="P14" t="s">
        <v>9</v>
      </c>
      <c r="S14" t="s">
        <v>39</v>
      </c>
      <c r="T14" t="s">
        <v>40</v>
      </c>
      <c r="U14" t="s">
        <v>14</v>
      </c>
      <c r="V14">
        <v>0.39</v>
      </c>
      <c r="W14" t="s">
        <v>38</v>
      </c>
    </row>
    <row r="15" spans="1:27" x14ac:dyDescent="0.3">
      <c r="A15">
        <v>2020</v>
      </c>
      <c r="B15" t="s">
        <v>7</v>
      </c>
      <c r="C15" t="s">
        <v>13</v>
      </c>
      <c r="D15" t="s">
        <v>9</v>
      </c>
      <c r="E15" t="s">
        <v>16</v>
      </c>
      <c r="F15">
        <v>0.48</v>
      </c>
      <c r="G15" t="s">
        <v>15</v>
      </c>
      <c r="H15" t="s">
        <v>7</v>
      </c>
      <c r="I15" t="s">
        <v>13</v>
      </c>
      <c r="J15">
        <v>700</v>
      </c>
      <c r="K15" t="s">
        <v>19</v>
      </c>
      <c r="L15">
        <f>F15*L5</f>
        <v>144.47999999999999</v>
      </c>
      <c r="N15" t="s">
        <v>32</v>
      </c>
      <c r="O15" t="s">
        <v>33</v>
      </c>
      <c r="P15" t="s">
        <v>9</v>
      </c>
      <c r="S15" t="s">
        <v>39</v>
      </c>
      <c r="T15" t="s">
        <v>40</v>
      </c>
      <c r="U15" t="s">
        <v>16</v>
      </c>
      <c r="V15">
        <v>0.32</v>
      </c>
      <c r="W15" t="s">
        <v>38</v>
      </c>
    </row>
    <row r="16" spans="1:27" x14ac:dyDescent="0.3">
      <c r="A16">
        <v>2020</v>
      </c>
      <c r="B16" t="s">
        <v>7</v>
      </c>
      <c r="C16" t="s">
        <v>13</v>
      </c>
      <c r="D16" t="s">
        <v>11</v>
      </c>
      <c r="E16" t="s">
        <v>14</v>
      </c>
      <c r="F16">
        <v>0.89</v>
      </c>
      <c r="G16" t="s">
        <v>15</v>
      </c>
      <c r="H16" t="s">
        <v>7</v>
      </c>
      <c r="I16" t="s">
        <v>13</v>
      </c>
      <c r="J16">
        <v>700</v>
      </c>
      <c r="K16" t="s">
        <v>19</v>
      </c>
      <c r="L16">
        <f>F16*L6</f>
        <v>43.610000000000007</v>
      </c>
      <c r="N16" t="s">
        <v>32</v>
      </c>
      <c r="O16" t="s">
        <v>33</v>
      </c>
      <c r="P16" t="s">
        <v>11</v>
      </c>
      <c r="S16" t="s">
        <v>39</v>
      </c>
      <c r="T16" t="s">
        <v>40</v>
      </c>
      <c r="U16" t="s">
        <v>14</v>
      </c>
      <c r="V16">
        <v>0.1</v>
      </c>
      <c r="W16" t="s">
        <v>38</v>
      </c>
    </row>
    <row r="17" spans="1:23" x14ac:dyDescent="0.3">
      <c r="A17">
        <v>2020</v>
      </c>
      <c r="B17" t="s">
        <v>7</v>
      </c>
      <c r="C17" t="s">
        <v>13</v>
      </c>
      <c r="D17" t="s">
        <v>11</v>
      </c>
      <c r="E17" t="s">
        <v>16</v>
      </c>
      <c r="F17">
        <v>0.11</v>
      </c>
      <c r="G17" t="s">
        <v>15</v>
      </c>
      <c r="H17" t="s">
        <v>7</v>
      </c>
      <c r="I17" t="s">
        <v>13</v>
      </c>
      <c r="J17">
        <v>700</v>
      </c>
      <c r="K17" t="s">
        <v>19</v>
      </c>
      <c r="L17">
        <f>F17*L6</f>
        <v>5.3900000000000006</v>
      </c>
      <c r="N17" t="s">
        <v>32</v>
      </c>
      <c r="O17" t="s">
        <v>33</v>
      </c>
      <c r="P17" t="s">
        <v>11</v>
      </c>
      <c r="S17" t="s">
        <v>39</v>
      </c>
      <c r="T17" t="s">
        <v>40</v>
      </c>
      <c r="U17" t="s">
        <v>16</v>
      </c>
      <c r="V17">
        <v>0.5</v>
      </c>
      <c r="W17" t="s">
        <v>38</v>
      </c>
    </row>
    <row r="18" spans="1:23" x14ac:dyDescent="0.3">
      <c r="A18">
        <v>2020</v>
      </c>
      <c r="B18" t="s">
        <v>7</v>
      </c>
      <c r="C18" t="s">
        <v>13</v>
      </c>
      <c r="D18" t="s">
        <v>12</v>
      </c>
      <c r="E18" t="s">
        <v>14</v>
      </c>
      <c r="F18">
        <v>0.35</v>
      </c>
      <c r="G18" t="s">
        <v>15</v>
      </c>
      <c r="H18" t="s">
        <v>7</v>
      </c>
      <c r="I18" t="s">
        <v>13</v>
      </c>
      <c r="J18">
        <v>700</v>
      </c>
      <c r="K18" t="s">
        <v>19</v>
      </c>
      <c r="L18">
        <f>F18*L7</f>
        <v>122.49999999999999</v>
      </c>
      <c r="N18" t="s">
        <v>35</v>
      </c>
      <c r="O18" t="s">
        <v>33</v>
      </c>
      <c r="P18" t="s">
        <v>11</v>
      </c>
      <c r="S18" t="s">
        <v>36</v>
      </c>
      <c r="T18" t="s">
        <v>33</v>
      </c>
      <c r="U18" t="s">
        <v>11</v>
      </c>
      <c r="V18">
        <v>0.34</v>
      </c>
      <c r="W18" t="s">
        <v>41</v>
      </c>
    </row>
    <row r="19" spans="1:23" x14ac:dyDescent="0.3">
      <c r="A19">
        <v>2020</v>
      </c>
      <c r="B19" t="s">
        <v>7</v>
      </c>
      <c r="C19" t="s">
        <v>13</v>
      </c>
      <c r="D19" t="s">
        <v>12</v>
      </c>
      <c r="E19" t="s">
        <v>16</v>
      </c>
      <c r="F19">
        <v>0.65</v>
      </c>
      <c r="G19" t="s">
        <v>15</v>
      </c>
      <c r="H19" t="s">
        <v>7</v>
      </c>
      <c r="I19" t="s">
        <v>13</v>
      </c>
      <c r="J19">
        <v>700</v>
      </c>
      <c r="K19" t="s">
        <v>19</v>
      </c>
      <c r="L19">
        <f>F19*L7</f>
        <v>227.5</v>
      </c>
      <c r="N19" t="s">
        <v>35</v>
      </c>
      <c r="O19" t="s">
        <v>33</v>
      </c>
      <c r="P19" t="s">
        <v>12</v>
      </c>
      <c r="S19" t="s">
        <v>36</v>
      </c>
      <c r="T19" t="s">
        <v>33</v>
      </c>
      <c r="U19" t="s">
        <v>12</v>
      </c>
      <c r="V19">
        <v>0.14000000000000001</v>
      </c>
      <c r="W19" t="s">
        <v>41</v>
      </c>
    </row>
    <row r="20" spans="1:23" x14ac:dyDescent="0.3">
      <c r="N20" t="s">
        <v>37</v>
      </c>
      <c r="O20" t="s">
        <v>33</v>
      </c>
      <c r="P20" t="s">
        <v>11</v>
      </c>
      <c r="S20" t="s">
        <v>36</v>
      </c>
      <c r="T20" t="s">
        <v>33</v>
      </c>
      <c r="U20" t="s">
        <v>11</v>
      </c>
      <c r="V20">
        <v>0.38</v>
      </c>
      <c r="W20" t="s">
        <v>41</v>
      </c>
    </row>
    <row r="21" spans="1:23" x14ac:dyDescent="0.3">
      <c r="N21" t="s">
        <v>35</v>
      </c>
      <c r="O21" t="s">
        <v>33</v>
      </c>
      <c r="P21" t="s">
        <v>11</v>
      </c>
      <c r="S21" t="s">
        <v>42</v>
      </c>
      <c r="T21" t="s">
        <v>40</v>
      </c>
      <c r="U21" t="s">
        <v>14</v>
      </c>
      <c r="V21">
        <v>0.08</v>
      </c>
      <c r="W21" t="s">
        <v>41</v>
      </c>
    </row>
    <row r="22" spans="1:23" x14ac:dyDescent="0.3">
      <c r="N22" t="s">
        <v>35</v>
      </c>
      <c r="O22" t="s">
        <v>33</v>
      </c>
      <c r="P22" t="s">
        <v>11</v>
      </c>
      <c r="S22" t="s">
        <v>42</v>
      </c>
      <c r="T22" t="s">
        <v>40</v>
      </c>
      <c r="U22" t="s">
        <v>16</v>
      </c>
      <c r="V22">
        <v>0.18</v>
      </c>
      <c r="W22" t="s">
        <v>41</v>
      </c>
    </row>
    <row r="23" spans="1:23" x14ac:dyDescent="0.3">
      <c r="N23" t="s">
        <v>35</v>
      </c>
      <c r="O23" t="s">
        <v>33</v>
      </c>
      <c r="P23" t="s">
        <v>12</v>
      </c>
      <c r="S23" t="s">
        <v>42</v>
      </c>
      <c r="T23" t="s">
        <v>40</v>
      </c>
      <c r="U23" t="s">
        <v>14</v>
      </c>
      <c r="V23">
        <v>0.13</v>
      </c>
      <c r="W23" t="s">
        <v>41</v>
      </c>
    </row>
    <row r="24" spans="1:23" x14ac:dyDescent="0.3">
      <c r="N24" t="s">
        <v>35</v>
      </c>
      <c r="O24" t="s">
        <v>33</v>
      </c>
      <c r="P24" t="s">
        <v>12</v>
      </c>
      <c r="S24" t="s">
        <v>42</v>
      </c>
      <c r="T24" t="s">
        <v>40</v>
      </c>
      <c r="U24" t="s">
        <v>16</v>
      </c>
      <c r="V24">
        <v>0.39</v>
      </c>
      <c r="W24" t="s">
        <v>41</v>
      </c>
    </row>
    <row r="25" spans="1:23" x14ac:dyDescent="0.3">
      <c r="N25" t="s">
        <v>37</v>
      </c>
      <c r="O25" t="s">
        <v>33</v>
      </c>
      <c r="P25" t="s">
        <v>11</v>
      </c>
      <c r="S25" t="s">
        <v>42</v>
      </c>
      <c r="T25" t="s">
        <v>40</v>
      </c>
      <c r="U25" t="s">
        <v>14</v>
      </c>
      <c r="V25">
        <v>0.18</v>
      </c>
      <c r="W25" t="s">
        <v>41</v>
      </c>
    </row>
    <row r="26" spans="1:23" x14ac:dyDescent="0.3">
      <c r="N26" t="s">
        <v>37</v>
      </c>
      <c r="O26" t="s">
        <v>33</v>
      </c>
      <c r="P26" t="s">
        <v>11</v>
      </c>
      <c r="S26" t="s">
        <v>42</v>
      </c>
      <c r="T26" t="s">
        <v>40</v>
      </c>
      <c r="U26" t="s">
        <v>16</v>
      </c>
      <c r="V26">
        <v>0.21</v>
      </c>
      <c r="W2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 YAMAMOTO</dc:creator>
  <cp:lastModifiedBy>Tales YAMAMOTO</cp:lastModifiedBy>
  <dcterms:created xsi:type="dcterms:W3CDTF">2024-05-01T06:43:28Z</dcterms:created>
  <dcterms:modified xsi:type="dcterms:W3CDTF">2024-05-01T07:12:03Z</dcterms:modified>
</cp:coreProperties>
</file>