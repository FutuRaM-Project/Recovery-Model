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aremail-my.sharepoint.com/personal/tales_yamamoto_unitar_org/Documents/FutuRaM/T4.3/IntegratedModel/data/test_fewer_layers_no_loop/"/>
    </mc:Choice>
  </mc:AlternateContent>
  <xr:revisionPtr revIDLastSave="189" documentId="8_{A211DF73-5B47-476A-A477-114AD80236EF}" xr6:coauthVersionLast="47" xr6:coauthVersionMax="47" xr10:uidLastSave="{B9381103-0BB6-446E-A964-8348590BA2CF}"/>
  <bookViews>
    <workbookView xWindow="0" yWindow="0" windowWidth="14400" windowHeight="15600" xr2:uid="{8DD5E7D2-9972-498C-AEC7-33968A27D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4" i="1" l="1"/>
  <c r="Y43" i="1"/>
  <c r="Y38" i="1"/>
  <c r="Y37" i="1"/>
  <c r="Y31" i="1"/>
  <c r="Y30" i="1"/>
  <c r="Y28" i="1"/>
  <c r="Y27" i="1"/>
  <c r="Y21" i="1"/>
  <c r="Y25" i="1"/>
  <c r="Y24" i="1"/>
  <c r="Y22" i="1"/>
  <c r="Y19" i="1"/>
  <c r="Y18" i="1"/>
  <c r="Y16" i="1"/>
  <c r="Y15" i="1"/>
  <c r="L6" i="1"/>
  <c r="L16" i="1" s="1"/>
  <c r="Y12" i="1" s="1"/>
  <c r="L3" i="1"/>
  <c r="L11" i="1" s="1"/>
  <c r="Y7" i="1" s="1"/>
  <c r="L4" i="1"/>
  <c r="L13" i="1" s="1"/>
  <c r="L5" i="1"/>
  <c r="Y8" i="1" s="1"/>
  <c r="L7" i="1"/>
  <c r="Y23" i="1" s="1"/>
  <c r="Y41" i="1" s="1"/>
  <c r="L2" i="1"/>
  <c r="L9" i="1" s="1"/>
  <c r="Y4" i="1" s="1"/>
  <c r="L17" i="1" l="1"/>
  <c r="Y13" i="1" s="1"/>
  <c r="Y11" i="1"/>
  <c r="Y29" i="1" s="1"/>
  <c r="Y45" i="1" s="1"/>
  <c r="Y14" i="1"/>
  <c r="Y36" i="1" s="1"/>
  <c r="Y17" i="1"/>
  <c r="Y40" i="1" s="1"/>
  <c r="L10" i="1"/>
  <c r="Y6" i="1" s="1"/>
  <c r="Y20" i="1"/>
  <c r="Y39" i="1" s="1"/>
  <c r="Y2" i="1"/>
  <c r="L18" i="1"/>
  <c r="L19" i="1"/>
  <c r="L12" i="1"/>
  <c r="L8" i="1"/>
  <c r="Y3" i="1" s="1"/>
  <c r="L14" i="1"/>
  <c r="Y9" i="1" s="1"/>
  <c r="L15" i="1"/>
  <c r="Y10" i="1" s="1"/>
  <c r="Y5" i="1"/>
  <c r="Y26" i="1" s="1"/>
  <c r="Y42" i="1" s="1"/>
</calcChain>
</file>

<file path=xl/sharedStrings.xml><?xml version="1.0" encoding="utf-8"?>
<sst xmlns="http://schemas.openxmlformats.org/spreadsheetml/2006/main" count="567" uniqueCount="44">
  <si>
    <t>Year</t>
  </si>
  <si>
    <t>Stock/Flow ID</t>
  </si>
  <si>
    <t>Layer 1</t>
  </si>
  <si>
    <t>Layer 2</t>
  </si>
  <si>
    <t>Layer 3</t>
  </si>
  <si>
    <t>Value</t>
  </si>
  <si>
    <t>parameterCode</t>
  </si>
  <si>
    <t>F1</t>
  </si>
  <si>
    <t>P1</t>
  </si>
  <si>
    <t>C1</t>
  </si>
  <si>
    <t>c-p</t>
  </si>
  <si>
    <t>C2</t>
  </si>
  <si>
    <t>C3</t>
  </si>
  <si>
    <t>P2</t>
  </si>
  <si>
    <t>M1</t>
  </si>
  <si>
    <t>m-c</t>
  </si>
  <si>
    <t>M2</t>
  </si>
  <si>
    <t>Substance_main_parent</t>
  </si>
  <si>
    <t>Unit</t>
  </si>
  <si>
    <t>Mg</t>
  </si>
  <si>
    <t>Mass</t>
  </si>
  <si>
    <t>input_flow</t>
  </si>
  <si>
    <t>input_layer</t>
  </si>
  <si>
    <t>input_layer_key</t>
  </si>
  <si>
    <t>input_sub_layer</t>
  </si>
  <si>
    <t>input_sub_layer_key</t>
  </si>
  <si>
    <t>output_flow</t>
  </si>
  <si>
    <t>output_layer</t>
  </si>
  <si>
    <t>output_target_key</t>
  </si>
  <si>
    <t>value</t>
  </si>
  <si>
    <t>process</t>
  </si>
  <si>
    <t>product</t>
  </si>
  <si>
    <t>F2</t>
  </si>
  <si>
    <t>component</t>
  </si>
  <si>
    <t>T1</t>
  </si>
  <si>
    <t>F3</t>
  </si>
  <si>
    <t>F6</t>
  </si>
  <si>
    <t>F4</t>
  </si>
  <si>
    <t>T2</t>
  </si>
  <si>
    <t>F5</t>
  </si>
  <si>
    <t>material</t>
  </si>
  <si>
    <t>T4</t>
  </si>
  <si>
    <t>F7</t>
  </si>
  <si>
    <t>#highlighted in yellow not in original TC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</si>
</sst>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ED04-32A7-42B9-988F-281707D2ED27}">
  <dimension ref="A1:AA52"/>
  <sheetViews>
    <sheetView tabSelected="1" topLeftCell="B7" zoomScale="80" zoomScaleNormal="80" workbookViewId="0">
      <selection activeCell="Y44" activeCellId="1" sqref="Y38 Y44"/>
    </sheetView>
  </sheetViews>
  <sheetFormatPr defaultRowHeight="15" x14ac:dyDescent="0.25"/>
  <cols>
    <col min="5" max="5" width="8.85546875" customWidth="1"/>
    <col min="6" max="11" width="8.85546875" hidden="1" customWidth="1"/>
    <col min="12" max="13" width="8.85546875" customWidth="1"/>
    <col min="18" max="19" width="0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17</v>
      </c>
      <c r="J1" t="s">
        <v>5</v>
      </c>
      <c r="K1" t="s">
        <v>18</v>
      </c>
      <c r="L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 spans="1:27" x14ac:dyDescent="0.25">
      <c r="A2">
        <v>2020</v>
      </c>
      <c r="B2" t="s">
        <v>7</v>
      </c>
      <c r="C2" t="s">
        <v>8</v>
      </c>
      <c r="D2" t="s">
        <v>9</v>
      </c>
      <c r="F2">
        <v>0.25</v>
      </c>
      <c r="G2" t="s">
        <v>10</v>
      </c>
      <c r="H2" t="s">
        <v>7</v>
      </c>
      <c r="I2" t="s">
        <v>8</v>
      </c>
      <c r="J2">
        <v>1000</v>
      </c>
      <c r="K2" t="s">
        <v>19</v>
      </c>
      <c r="L2">
        <f>F2*J2</f>
        <v>250</v>
      </c>
      <c r="O2" t="s">
        <v>7</v>
      </c>
      <c r="P2" t="s">
        <v>31</v>
      </c>
      <c r="Q2" t="s">
        <v>8</v>
      </c>
      <c r="T2" t="s">
        <v>32</v>
      </c>
      <c r="U2" t="s">
        <v>33</v>
      </c>
      <c r="V2" t="s">
        <v>9</v>
      </c>
      <c r="W2">
        <v>0.25</v>
      </c>
      <c r="X2" t="s">
        <v>34</v>
      </c>
      <c r="Y2">
        <f>W2*L2</f>
        <v>62.5</v>
      </c>
    </row>
    <row r="3" spans="1:27" x14ac:dyDescent="0.25">
      <c r="A3">
        <v>2020</v>
      </c>
      <c r="B3" t="s">
        <v>7</v>
      </c>
      <c r="C3" t="s">
        <v>8</v>
      </c>
      <c r="D3" t="s">
        <v>11</v>
      </c>
      <c r="F3">
        <v>0.59</v>
      </c>
      <c r="G3" t="s">
        <v>10</v>
      </c>
      <c r="H3" t="s">
        <v>7</v>
      </c>
      <c r="I3" t="s">
        <v>8</v>
      </c>
      <c r="J3">
        <v>1000</v>
      </c>
      <c r="K3" t="s">
        <v>19</v>
      </c>
      <c r="L3">
        <f t="shared" ref="L3:L7" si="0">F3*J3</f>
        <v>590</v>
      </c>
      <c r="N3" s="3" t="s">
        <v>9</v>
      </c>
      <c r="O3" s="3" t="s">
        <v>7</v>
      </c>
      <c r="P3" s="3" t="s">
        <v>31</v>
      </c>
      <c r="Q3" s="3" t="s">
        <v>8</v>
      </c>
      <c r="R3" s="3"/>
      <c r="S3" s="3"/>
      <c r="T3" s="3" t="s">
        <v>32</v>
      </c>
      <c r="U3" s="3" t="s">
        <v>33</v>
      </c>
      <c r="V3" s="3" t="s">
        <v>9</v>
      </c>
      <c r="W3" s="3">
        <v>0.25</v>
      </c>
      <c r="X3" s="3" t="s">
        <v>34</v>
      </c>
      <c r="Y3" s="3">
        <f>W3*L8</f>
        <v>32.5</v>
      </c>
      <c r="Z3" s="3" t="s">
        <v>14</v>
      </c>
      <c r="AA3" s="1"/>
    </row>
    <row r="4" spans="1:27" x14ac:dyDescent="0.25">
      <c r="A4">
        <v>2020</v>
      </c>
      <c r="B4" t="s">
        <v>7</v>
      </c>
      <c r="C4" t="s">
        <v>8</v>
      </c>
      <c r="D4" t="s">
        <v>12</v>
      </c>
      <c r="F4">
        <v>0.16</v>
      </c>
      <c r="G4" t="s">
        <v>10</v>
      </c>
      <c r="H4" t="s">
        <v>7</v>
      </c>
      <c r="I4" t="s">
        <v>8</v>
      </c>
      <c r="J4">
        <v>1000</v>
      </c>
      <c r="K4" t="s">
        <v>19</v>
      </c>
      <c r="L4">
        <f t="shared" si="0"/>
        <v>160</v>
      </c>
      <c r="N4" s="3" t="s">
        <v>9</v>
      </c>
      <c r="O4" s="3" t="s">
        <v>7</v>
      </c>
      <c r="P4" s="3" t="s">
        <v>31</v>
      </c>
      <c r="Q4" s="3" t="s">
        <v>8</v>
      </c>
      <c r="R4" s="3"/>
      <c r="S4" s="3"/>
      <c r="T4" s="3" t="s">
        <v>32</v>
      </c>
      <c r="U4" s="3" t="s">
        <v>33</v>
      </c>
      <c r="V4" s="3" t="s">
        <v>9</v>
      </c>
      <c r="W4" s="3">
        <v>0.25</v>
      </c>
      <c r="X4" s="3" t="s">
        <v>34</v>
      </c>
      <c r="Y4" s="3">
        <f>W4*L9</f>
        <v>30</v>
      </c>
      <c r="Z4" s="3" t="s">
        <v>16</v>
      </c>
    </row>
    <row r="5" spans="1:27" x14ac:dyDescent="0.25">
      <c r="A5">
        <v>2020</v>
      </c>
      <c r="B5" t="s">
        <v>7</v>
      </c>
      <c r="C5" t="s">
        <v>13</v>
      </c>
      <c r="D5" t="s">
        <v>9</v>
      </c>
      <c r="F5">
        <v>0.43</v>
      </c>
      <c r="G5" t="s">
        <v>10</v>
      </c>
      <c r="H5" t="s">
        <v>7</v>
      </c>
      <c r="I5" t="s">
        <v>13</v>
      </c>
      <c r="J5">
        <v>700</v>
      </c>
      <c r="K5" t="s">
        <v>19</v>
      </c>
      <c r="L5">
        <f t="shared" si="0"/>
        <v>301</v>
      </c>
      <c r="O5" t="s">
        <v>7</v>
      </c>
      <c r="P5" t="s">
        <v>31</v>
      </c>
      <c r="Q5" t="s">
        <v>8</v>
      </c>
      <c r="T5" t="s">
        <v>32</v>
      </c>
      <c r="U5" t="s">
        <v>33</v>
      </c>
      <c r="V5" t="s">
        <v>11</v>
      </c>
      <c r="W5">
        <v>0.04</v>
      </c>
      <c r="X5" t="s">
        <v>34</v>
      </c>
      <c r="Y5" s="2">
        <f>W5*L3</f>
        <v>23.6</v>
      </c>
    </row>
    <row r="6" spans="1:27" x14ac:dyDescent="0.25">
      <c r="A6">
        <v>2020</v>
      </c>
      <c r="B6" t="s">
        <v>7</v>
      </c>
      <c r="C6" t="s">
        <v>13</v>
      </c>
      <c r="D6" t="s">
        <v>11</v>
      </c>
      <c r="F6">
        <v>7.0000000000000007E-2</v>
      </c>
      <c r="G6" t="s">
        <v>10</v>
      </c>
      <c r="H6" t="s">
        <v>7</v>
      </c>
      <c r="I6" t="s">
        <v>13</v>
      </c>
      <c r="J6">
        <v>700</v>
      </c>
      <c r="K6" t="s">
        <v>19</v>
      </c>
      <c r="L6">
        <f>F6*J6</f>
        <v>49.000000000000007</v>
      </c>
      <c r="N6" s="3" t="s">
        <v>11</v>
      </c>
      <c r="O6" s="3" t="s">
        <v>7</v>
      </c>
      <c r="P6" s="3" t="s">
        <v>31</v>
      </c>
      <c r="Q6" s="3" t="s">
        <v>8</v>
      </c>
      <c r="R6" s="3"/>
      <c r="S6" s="3"/>
      <c r="T6" s="3" t="s">
        <v>32</v>
      </c>
      <c r="U6" s="3" t="s">
        <v>33</v>
      </c>
      <c r="V6" s="3" t="s">
        <v>11</v>
      </c>
      <c r="W6" s="3">
        <v>0.04</v>
      </c>
      <c r="X6" s="3" t="s">
        <v>34</v>
      </c>
      <c r="Y6" s="4">
        <f>W6*L10</f>
        <v>15.576000000000002</v>
      </c>
      <c r="Z6" s="3" t="s">
        <v>14</v>
      </c>
    </row>
    <row r="7" spans="1:27" x14ac:dyDescent="0.25">
      <c r="A7">
        <v>2020</v>
      </c>
      <c r="B7" t="s">
        <v>7</v>
      </c>
      <c r="C7" t="s">
        <v>13</v>
      </c>
      <c r="D7" t="s">
        <v>12</v>
      </c>
      <c r="F7">
        <v>0.5</v>
      </c>
      <c r="G7" t="s">
        <v>10</v>
      </c>
      <c r="H7" t="s">
        <v>7</v>
      </c>
      <c r="I7" t="s">
        <v>13</v>
      </c>
      <c r="J7">
        <v>700</v>
      </c>
      <c r="K7" t="s">
        <v>19</v>
      </c>
      <c r="L7">
        <f t="shared" si="0"/>
        <v>350</v>
      </c>
      <c r="N7" s="3" t="s">
        <v>11</v>
      </c>
      <c r="O7" s="3" t="s">
        <v>7</v>
      </c>
      <c r="P7" s="3" t="s">
        <v>31</v>
      </c>
      <c r="Q7" s="3" t="s">
        <v>8</v>
      </c>
      <c r="R7" s="3"/>
      <c r="S7" s="3"/>
      <c r="T7" s="3" t="s">
        <v>32</v>
      </c>
      <c r="U7" s="3" t="s">
        <v>33</v>
      </c>
      <c r="V7" s="3" t="s">
        <v>11</v>
      </c>
      <c r="W7" s="3">
        <v>0.04</v>
      </c>
      <c r="X7" s="3" t="s">
        <v>34</v>
      </c>
      <c r="Y7" s="4">
        <f>W7*L11</f>
        <v>8.0240000000000009</v>
      </c>
      <c r="Z7" s="3" t="s">
        <v>16</v>
      </c>
    </row>
    <row r="8" spans="1:27" x14ac:dyDescent="0.25">
      <c r="A8">
        <v>2020</v>
      </c>
      <c r="B8" t="s">
        <v>7</v>
      </c>
      <c r="C8" t="s">
        <v>8</v>
      </c>
      <c r="D8" t="s">
        <v>9</v>
      </c>
      <c r="E8" t="s">
        <v>14</v>
      </c>
      <c r="F8">
        <v>0.52</v>
      </c>
      <c r="G8" t="s">
        <v>15</v>
      </c>
      <c r="H8" t="s">
        <v>7</v>
      </c>
      <c r="I8" t="s">
        <v>8</v>
      </c>
      <c r="J8">
        <v>1000</v>
      </c>
      <c r="K8" t="s">
        <v>19</v>
      </c>
      <c r="L8">
        <f>F8*L2</f>
        <v>130</v>
      </c>
      <c r="O8" t="s">
        <v>7</v>
      </c>
      <c r="P8" t="s">
        <v>31</v>
      </c>
      <c r="Q8" t="s">
        <v>13</v>
      </c>
      <c r="T8" t="s">
        <v>32</v>
      </c>
      <c r="U8" t="s">
        <v>33</v>
      </c>
      <c r="V8" t="s">
        <v>9</v>
      </c>
      <c r="W8">
        <v>0.08</v>
      </c>
      <c r="X8" t="s">
        <v>34</v>
      </c>
      <c r="Y8">
        <f>W8*L5</f>
        <v>24.080000000000002</v>
      </c>
    </row>
    <row r="9" spans="1:27" x14ac:dyDescent="0.25">
      <c r="A9">
        <v>2020</v>
      </c>
      <c r="B9" t="s">
        <v>7</v>
      </c>
      <c r="C9" t="s">
        <v>8</v>
      </c>
      <c r="D9" t="s">
        <v>9</v>
      </c>
      <c r="E9" t="s">
        <v>16</v>
      </c>
      <c r="F9">
        <v>0.48</v>
      </c>
      <c r="G9" t="s">
        <v>15</v>
      </c>
      <c r="H9" t="s">
        <v>7</v>
      </c>
      <c r="I9" t="s">
        <v>8</v>
      </c>
      <c r="J9">
        <v>1000</v>
      </c>
      <c r="K9" t="s">
        <v>19</v>
      </c>
      <c r="L9">
        <f>F9*L2</f>
        <v>120</v>
      </c>
      <c r="N9" s="3" t="s">
        <v>9</v>
      </c>
      <c r="O9" s="3" t="s">
        <v>7</v>
      </c>
      <c r="P9" s="3" t="s">
        <v>31</v>
      </c>
      <c r="Q9" s="3" t="s">
        <v>13</v>
      </c>
      <c r="R9" s="3"/>
      <c r="S9" s="3"/>
      <c r="T9" s="3" t="s">
        <v>32</v>
      </c>
      <c r="U9" s="3" t="s">
        <v>33</v>
      </c>
      <c r="V9" s="3" t="s">
        <v>9</v>
      </c>
      <c r="W9" s="3">
        <v>0.08</v>
      </c>
      <c r="X9" s="3" t="s">
        <v>34</v>
      </c>
      <c r="Y9" s="3">
        <f>W9*L14</f>
        <v>12.521600000000001</v>
      </c>
      <c r="Z9" s="3" t="s">
        <v>14</v>
      </c>
    </row>
    <row r="10" spans="1:27" x14ac:dyDescent="0.25">
      <c r="A10">
        <v>2020</v>
      </c>
      <c r="B10" t="s">
        <v>7</v>
      </c>
      <c r="C10" t="s">
        <v>8</v>
      </c>
      <c r="D10" t="s">
        <v>11</v>
      </c>
      <c r="E10" t="s">
        <v>14</v>
      </c>
      <c r="F10">
        <v>0.66</v>
      </c>
      <c r="G10" t="s">
        <v>15</v>
      </c>
      <c r="H10" t="s">
        <v>7</v>
      </c>
      <c r="I10" t="s">
        <v>8</v>
      </c>
      <c r="J10">
        <v>1000</v>
      </c>
      <c r="K10" t="s">
        <v>19</v>
      </c>
      <c r="L10">
        <f>F10*L3</f>
        <v>389.40000000000003</v>
      </c>
      <c r="N10" s="3" t="s">
        <v>9</v>
      </c>
      <c r="O10" s="3" t="s">
        <v>7</v>
      </c>
      <c r="P10" s="3" t="s">
        <v>31</v>
      </c>
      <c r="Q10" s="3" t="s">
        <v>13</v>
      </c>
      <c r="R10" s="3"/>
      <c r="S10" s="3"/>
      <c r="T10" s="3" t="s">
        <v>32</v>
      </c>
      <c r="U10" s="3" t="s">
        <v>33</v>
      </c>
      <c r="V10" s="3" t="s">
        <v>9</v>
      </c>
      <c r="W10" s="3">
        <v>0.08</v>
      </c>
      <c r="X10" s="3" t="s">
        <v>34</v>
      </c>
      <c r="Y10" s="3">
        <f>W10*L15</f>
        <v>11.558399999999999</v>
      </c>
      <c r="Z10" s="3" t="s">
        <v>16</v>
      </c>
    </row>
    <row r="11" spans="1:27" x14ac:dyDescent="0.25">
      <c r="A11">
        <v>2020</v>
      </c>
      <c r="B11" t="s">
        <v>7</v>
      </c>
      <c r="C11" t="s">
        <v>8</v>
      </c>
      <c r="D11" t="s">
        <v>11</v>
      </c>
      <c r="E11" t="s">
        <v>16</v>
      </c>
      <c r="F11">
        <v>0.34</v>
      </c>
      <c r="G11" t="s">
        <v>15</v>
      </c>
      <c r="H11" t="s">
        <v>7</v>
      </c>
      <c r="I11" t="s">
        <v>8</v>
      </c>
      <c r="J11">
        <v>1000</v>
      </c>
      <c r="K11" t="s">
        <v>19</v>
      </c>
      <c r="L11">
        <f>F11*L3</f>
        <v>200.60000000000002</v>
      </c>
      <c r="O11" t="s">
        <v>7</v>
      </c>
      <c r="P11" t="s">
        <v>31</v>
      </c>
      <c r="Q11" t="s">
        <v>13</v>
      </c>
      <c r="T11" t="s">
        <v>32</v>
      </c>
      <c r="U11" t="s">
        <v>33</v>
      </c>
      <c r="V11" t="s">
        <v>11</v>
      </c>
      <c r="W11">
        <v>0.44</v>
      </c>
      <c r="X11" t="s">
        <v>34</v>
      </c>
      <c r="Y11" s="2">
        <f>W11*L6</f>
        <v>21.560000000000002</v>
      </c>
    </row>
    <row r="12" spans="1:27" x14ac:dyDescent="0.25">
      <c r="A12">
        <v>2020</v>
      </c>
      <c r="B12" t="s">
        <v>7</v>
      </c>
      <c r="C12" t="s">
        <v>8</v>
      </c>
      <c r="D12" t="s">
        <v>12</v>
      </c>
      <c r="E12" t="s">
        <v>14</v>
      </c>
      <c r="F12">
        <v>0.49</v>
      </c>
      <c r="G12" t="s">
        <v>15</v>
      </c>
      <c r="H12" t="s">
        <v>7</v>
      </c>
      <c r="I12" t="s">
        <v>8</v>
      </c>
      <c r="J12">
        <v>1000</v>
      </c>
      <c r="K12" t="s">
        <v>19</v>
      </c>
      <c r="L12">
        <f>F12*L4</f>
        <v>78.400000000000006</v>
      </c>
      <c r="N12" s="3" t="s">
        <v>11</v>
      </c>
      <c r="O12" s="3" t="s">
        <v>7</v>
      </c>
      <c r="P12" s="3" t="s">
        <v>31</v>
      </c>
      <c r="Q12" s="3" t="s">
        <v>13</v>
      </c>
      <c r="R12" s="3"/>
      <c r="S12" s="3"/>
      <c r="T12" s="3" t="s">
        <v>32</v>
      </c>
      <c r="U12" s="3" t="s">
        <v>33</v>
      </c>
      <c r="V12" s="3" t="s">
        <v>11</v>
      </c>
      <c r="W12" s="3">
        <v>0.44</v>
      </c>
      <c r="X12" s="3" t="s">
        <v>34</v>
      </c>
      <c r="Y12" s="3">
        <f>W12*L16</f>
        <v>19.188400000000001</v>
      </c>
      <c r="Z12" s="3" t="s">
        <v>14</v>
      </c>
    </row>
    <row r="13" spans="1:27" x14ac:dyDescent="0.25">
      <c r="A13">
        <v>2020</v>
      </c>
      <c r="B13" t="s">
        <v>7</v>
      </c>
      <c r="C13" t="s">
        <v>8</v>
      </c>
      <c r="D13" t="s">
        <v>12</v>
      </c>
      <c r="E13" t="s">
        <v>16</v>
      </c>
      <c r="F13">
        <v>0.51</v>
      </c>
      <c r="G13" t="s">
        <v>15</v>
      </c>
      <c r="H13" t="s">
        <v>7</v>
      </c>
      <c r="I13" t="s">
        <v>8</v>
      </c>
      <c r="J13">
        <v>1000</v>
      </c>
      <c r="K13" t="s">
        <v>19</v>
      </c>
      <c r="L13">
        <f>F13*L4</f>
        <v>81.599999999999994</v>
      </c>
      <c r="N13" s="3" t="s">
        <v>11</v>
      </c>
      <c r="O13" s="3" t="s">
        <v>7</v>
      </c>
      <c r="P13" s="3" t="s">
        <v>31</v>
      </c>
      <c r="Q13" s="3" t="s">
        <v>13</v>
      </c>
      <c r="R13" s="3"/>
      <c r="S13" s="3"/>
      <c r="T13" s="3" t="s">
        <v>32</v>
      </c>
      <c r="U13" s="3" t="s">
        <v>33</v>
      </c>
      <c r="V13" s="3" t="s">
        <v>11</v>
      </c>
      <c r="W13" s="3">
        <v>0.44</v>
      </c>
      <c r="X13" s="3" t="s">
        <v>34</v>
      </c>
      <c r="Y13" s="3">
        <f>W13*L17</f>
        <v>2.3716000000000004</v>
      </c>
      <c r="Z13" s="3" t="s">
        <v>16</v>
      </c>
    </row>
    <row r="14" spans="1:27" x14ac:dyDescent="0.25">
      <c r="A14">
        <v>2020</v>
      </c>
      <c r="B14" t="s">
        <v>7</v>
      </c>
      <c r="C14" t="s">
        <v>13</v>
      </c>
      <c r="D14" t="s">
        <v>9</v>
      </c>
      <c r="E14" t="s">
        <v>14</v>
      </c>
      <c r="F14">
        <v>0.52</v>
      </c>
      <c r="G14" t="s">
        <v>15</v>
      </c>
      <c r="H14" t="s">
        <v>7</v>
      </c>
      <c r="I14" t="s">
        <v>13</v>
      </c>
      <c r="J14">
        <v>700</v>
      </c>
      <c r="K14" t="s">
        <v>19</v>
      </c>
      <c r="L14">
        <f>F14*L5</f>
        <v>156.52000000000001</v>
      </c>
      <c r="O14" t="s">
        <v>7</v>
      </c>
      <c r="P14" t="s">
        <v>31</v>
      </c>
      <c r="Q14" t="s">
        <v>8</v>
      </c>
      <c r="T14" t="s">
        <v>35</v>
      </c>
      <c r="U14" t="s">
        <v>33</v>
      </c>
      <c r="V14" t="s">
        <v>11</v>
      </c>
      <c r="W14">
        <v>0.04</v>
      </c>
      <c r="X14" t="s">
        <v>34</v>
      </c>
      <c r="Y14">
        <f>W14*L3</f>
        <v>23.6</v>
      </c>
    </row>
    <row r="15" spans="1:27" x14ac:dyDescent="0.25">
      <c r="A15">
        <v>2020</v>
      </c>
      <c r="B15" t="s">
        <v>7</v>
      </c>
      <c r="C15" t="s">
        <v>13</v>
      </c>
      <c r="D15" t="s">
        <v>9</v>
      </c>
      <c r="E15" t="s">
        <v>16</v>
      </c>
      <c r="F15">
        <v>0.48</v>
      </c>
      <c r="G15" t="s">
        <v>15</v>
      </c>
      <c r="H15" t="s">
        <v>7</v>
      </c>
      <c r="I15" t="s">
        <v>13</v>
      </c>
      <c r="J15">
        <v>700</v>
      </c>
      <c r="K15" t="s">
        <v>19</v>
      </c>
      <c r="L15">
        <f>F15*L5</f>
        <v>144.47999999999999</v>
      </c>
      <c r="N15" s="3" t="s">
        <v>11</v>
      </c>
      <c r="O15" s="3" t="s">
        <v>7</v>
      </c>
      <c r="P15" s="3" t="s">
        <v>31</v>
      </c>
      <c r="Q15" s="3" t="s">
        <v>8</v>
      </c>
      <c r="R15" s="3"/>
      <c r="S15" s="3"/>
      <c r="T15" s="3" t="s">
        <v>35</v>
      </c>
      <c r="U15" s="3" t="s">
        <v>33</v>
      </c>
      <c r="V15" s="3" t="s">
        <v>11</v>
      </c>
      <c r="W15" s="3">
        <v>0.04</v>
      </c>
      <c r="X15" s="3" t="s">
        <v>34</v>
      </c>
      <c r="Y15" s="3">
        <f>W15*L10</f>
        <v>15.576000000000002</v>
      </c>
      <c r="Z15" s="3" t="s">
        <v>14</v>
      </c>
    </row>
    <row r="16" spans="1:27" x14ac:dyDescent="0.25">
      <c r="A16">
        <v>2020</v>
      </c>
      <c r="B16" t="s">
        <v>7</v>
      </c>
      <c r="C16" t="s">
        <v>13</v>
      </c>
      <c r="D16" t="s">
        <v>11</v>
      </c>
      <c r="E16" t="s">
        <v>14</v>
      </c>
      <c r="F16">
        <v>0.89</v>
      </c>
      <c r="G16" t="s">
        <v>15</v>
      </c>
      <c r="H16" t="s">
        <v>7</v>
      </c>
      <c r="I16" t="s">
        <v>13</v>
      </c>
      <c r="J16">
        <v>700</v>
      </c>
      <c r="K16" t="s">
        <v>19</v>
      </c>
      <c r="L16">
        <f>F16*L6</f>
        <v>43.610000000000007</v>
      </c>
      <c r="N16" s="3" t="s">
        <v>11</v>
      </c>
      <c r="O16" s="3" t="s">
        <v>7</v>
      </c>
      <c r="P16" s="3" t="s">
        <v>31</v>
      </c>
      <c r="Q16" s="3" t="s">
        <v>8</v>
      </c>
      <c r="R16" s="3"/>
      <c r="S16" s="3"/>
      <c r="T16" s="3" t="s">
        <v>35</v>
      </c>
      <c r="U16" s="3" t="s">
        <v>33</v>
      </c>
      <c r="V16" s="3" t="s">
        <v>11</v>
      </c>
      <c r="W16" s="3">
        <v>0.04</v>
      </c>
      <c r="X16" s="3" t="s">
        <v>34</v>
      </c>
      <c r="Y16" s="3">
        <f>W16*L11</f>
        <v>8.0240000000000009</v>
      </c>
      <c r="Z16" s="3" t="s">
        <v>16</v>
      </c>
    </row>
    <row r="17" spans="1:26" x14ac:dyDescent="0.25">
      <c r="A17">
        <v>2020</v>
      </c>
      <c r="B17" t="s">
        <v>7</v>
      </c>
      <c r="C17" t="s">
        <v>13</v>
      </c>
      <c r="D17" t="s">
        <v>11</v>
      </c>
      <c r="E17" t="s">
        <v>16</v>
      </c>
      <c r="F17">
        <v>0.11</v>
      </c>
      <c r="G17" t="s">
        <v>15</v>
      </c>
      <c r="H17" t="s">
        <v>7</v>
      </c>
      <c r="I17" t="s">
        <v>13</v>
      </c>
      <c r="J17">
        <v>700</v>
      </c>
      <c r="K17" t="s">
        <v>19</v>
      </c>
      <c r="L17">
        <f>F17*L6</f>
        <v>5.3900000000000006</v>
      </c>
      <c r="O17" t="s">
        <v>7</v>
      </c>
      <c r="P17" t="s">
        <v>31</v>
      </c>
      <c r="Q17" t="s">
        <v>8</v>
      </c>
      <c r="T17" t="s">
        <v>35</v>
      </c>
      <c r="U17" t="s">
        <v>33</v>
      </c>
      <c r="V17" t="s">
        <v>12</v>
      </c>
      <c r="W17">
        <v>0.08</v>
      </c>
      <c r="X17" t="s">
        <v>34</v>
      </c>
      <c r="Y17">
        <f>W17*L4</f>
        <v>12.8</v>
      </c>
    </row>
    <row r="18" spans="1:26" x14ac:dyDescent="0.25">
      <c r="A18">
        <v>2020</v>
      </c>
      <c r="B18" t="s">
        <v>7</v>
      </c>
      <c r="C18" t="s">
        <v>13</v>
      </c>
      <c r="D18" t="s">
        <v>12</v>
      </c>
      <c r="E18" t="s">
        <v>14</v>
      </c>
      <c r="F18">
        <v>0.35</v>
      </c>
      <c r="G18" t="s">
        <v>15</v>
      </c>
      <c r="H18" t="s">
        <v>7</v>
      </c>
      <c r="I18" t="s">
        <v>13</v>
      </c>
      <c r="J18">
        <v>700</v>
      </c>
      <c r="K18" t="s">
        <v>19</v>
      </c>
      <c r="L18">
        <f>F18*L7</f>
        <v>122.49999999999999</v>
      </c>
      <c r="N18" s="3" t="s">
        <v>12</v>
      </c>
      <c r="O18" s="3" t="s">
        <v>7</v>
      </c>
      <c r="P18" s="3" t="s">
        <v>31</v>
      </c>
      <c r="Q18" s="3" t="s">
        <v>8</v>
      </c>
      <c r="R18" s="3"/>
      <c r="S18" s="3"/>
      <c r="T18" s="3" t="s">
        <v>35</v>
      </c>
      <c r="U18" s="3" t="s">
        <v>33</v>
      </c>
      <c r="V18" s="3" t="s">
        <v>12</v>
      </c>
      <c r="W18" s="3">
        <v>0.08</v>
      </c>
      <c r="X18" s="3" t="s">
        <v>34</v>
      </c>
      <c r="Y18" s="3">
        <f>W18*L12</f>
        <v>6.2720000000000002</v>
      </c>
      <c r="Z18" s="3" t="s">
        <v>14</v>
      </c>
    </row>
    <row r="19" spans="1:26" x14ac:dyDescent="0.25">
      <c r="A19">
        <v>2020</v>
      </c>
      <c r="B19" t="s">
        <v>7</v>
      </c>
      <c r="C19" t="s">
        <v>13</v>
      </c>
      <c r="D19" t="s">
        <v>12</v>
      </c>
      <c r="E19" t="s">
        <v>16</v>
      </c>
      <c r="F19">
        <v>0.65</v>
      </c>
      <c r="G19" t="s">
        <v>15</v>
      </c>
      <c r="H19" t="s">
        <v>7</v>
      </c>
      <c r="I19" t="s">
        <v>13</v>
      </c>
      <c r="J19">
        <v>700</v>
      </c>
      <c r="K19" t="s">
        <v>19</v>
      </c>
      <c r="L19">
        <f>F19*L7</f>
        <v>227.5</v>
      </c>
      <c r="N19" s="3" t="s">
        <v>12</v>
      </c>
      <c r="O19" s="3" t="s">
        <v>7</v>
      </c>
      <c r="P19" s="3" t="s">
        <v>31</v>
      </c>
      <c r="Q19" s="3" t="s">
        <v>8</v>
      </c>
      <c r="R19" s="3"/>
      <c r="S19" s="3"/>
      <c r="T19" s="3" t="s">
        <v>35</v>
      </c>
      <c r="U19" s="3" t="s">
        <v>33</v>
      </c>
      <c r="V19" s="3" t="s">
        <v>12</v>
      </c>
      <c r="W19" s="3">
        <v>0.08</v>
      </c>
      <c r="X19" s="3" t="s">
        <v>34</v>
      </c>
      <c r="Y19" s="3">
        <f>W19*L13</f>
        <v>6.5279999999999996</v>
      </c>
      <c r="Z19" s="3" t="s">
        <v>16</v>
      </c>
    </row>
    <row r="20" spans="1:26" x14ac:dyDescent="0.25">
      <c r="O20" t="s">
        <v>7</v>
      </c>
      <c r="P20" t="s">
        <v>31</v>
      </c>
      <c r="Q20" t="s">
        <v>13</v>
      </c>
      <c r="T20" t="s">
        <v>35</v>
      </c>
      <c r="U20" t="s">
        <v>33</v>
      </c>
      <c r="V20" t="s">
        <v>11</v>
      </c>
      <c r="W20">
        <v>0.22</v>
      </c>
      <c r="X20" t="s">
        <v>34</v>
      </c>
      <c r="Y20">
        <f>W20*L6</f>
        <v>10.780000000000001</v>
      </c>
    </row>
    <row r="21" spans="1:26" x14ac:dyDescent="0.25">
      <c r="N21" s="3" t="s">
        <v>11</v>
      </c>
      <c r="O21" s="3" t="s">
        <v>7</v>
      </c>
      <c r="P21" s="3" t="s">
        <v>31</v>
      </c>
      <c r="Q21" s="3" t="s">
        <v>13</v>
      </c>
      <c r="R21" s="3"/>
      <c r="S21" s="3"/>
      <c r="T21" s="3" t="s">
        <v>35</v>
      </c>
      <c r="U21" s="3" t="s">
        <v>33</v>
      </c>
      <c r="V21" s="3" t="s">
        <v>11</v>
      </c>
      <c r="W21" s="3">
        <v>0.22</v>
      </c>
      <c r="X21" s="3" t="s">
        <v>34</v>
      </c>
      <c r="Y21" s="3">
        <f>W21*L16</f>
        <v>9.5942000000000007</v>
      </c>
      <c r="Z21" s="3" t="s">
        <v>14</v>
      </c>
    </row>
    <row r="22" spans="1:26" x14ac:dyDescent="0.25">
      <c r="N22" s="3" t="s">
        <v>11</v>
      </c>
      <c r="O22" s="3" t="s">
        <v>7</v>
      </c>
      <c r="P22" s="3" t="s">
        <v>31</v>
      </c>
      <c r="Q22" s="3" t="s">
        <v>13</v>
      </c>
      <c r="R22" s="3"/>
      <c r="S22" s="3"/>
      <c r="T22" s="3" t="s">
        <v>35</v>
      </c>
      <c r="U22" s="3" t="s">
        <v>33</v>
      </c>
      <c r="V22" s="3" t="s">
        <v>11</v>
      </c>
      <c r="W22" s="3">
        <v>0.22</v>
      </c>
      <c r="X22" s="3" t="s">
        <v>34</v>
      </c>
      <c r="Y22" s="3">
        <f>W22*L17</f>
        <v>1.1858000000000002</v>
      </c>
      <c r="Z22" s="3" t="s">
        <v>16</v>
      </c>
    </row>
    <row r="23" spans="1:26" x14ac:dyDescent="0.25">
      <c r="O23" t="s">
        <v>7</v>
      </c>
      <c r="P23" t="s">
        <v>31</v>
      </c>
      <c r="Q23" t="s">
        <v>13</v>
      </c>
      <c r="T23" t="s">
        <v>35</v>
      </c>
      <c r="U23" t="s">
        <v>33</v>
      </c>
      <c r="V23" t="s">
        <v>12</v>
      </c>
      <c r="W23">
        <v>0</v>
      </c>
      <c r="X23" t="s">
        <v>34</v>
      </c>
      <c r="Y23">
        <f>W23*L7</f>
        <v>0</v>
      </c>
    </row>
    <row r="24" spans="1:26" x14ac:dyDescent="0.25">
      <c r="N24" s="3" t="s">
        <v>12</v>
      </c>
      <c r="O24" s="3" t="s">
        <v>7</v>
      </c>
      <c r="P24" s="3" t="s">
        <v>31</v>
      </c>
      <c r="Q24" s="3" t="s">
        <v>13</v>
      </c>
      <c r="R24" s="3"/>
      <c r="S24" s="3"/>
      <c r="T24" s="3" t="s">
        <v>35</v>
      </c>
      <c r="U24" s="3" t="s">
        <v>33</v>
      </c>
      <c r="V24" s="3" t="s">
        <v>12</v>
      </c>
      <c r="W24" s="3">
        <v>0</v>
      </c>
      <c r="X24" s="3" t="s">
        <v>34</v>
      </c>
      <c r="Y24" s="3">
        <f>W24*L18</f>
        <v>0</v>
      </c>
      <c r="Z24" s="3" t="s">
        <v>14</v>
      </c>
    </row>
    <row r="25" spans="1:26" x14ac:dyDescent="0.25">
      <c r="N25" s="3" t="s">
        <v>12</v>
      </c>
      <c r="O25" s="3" t="s">
        <v>7</v>
      </c>
      <c r="P25" s="3" t="s">
        <v>31</v>
      </c>
      <c r="Q25" s="3" t="s">
        <v>13</v>
      </c>
      <c r="R25" s="3"/>
      <c r="S25" s="3"/>
      <c r="T25" s="3" t="s">
        <v>35</v>
      </c>
      <c r="U25" s="3" t="s">
        <v>33</v>
      </c>
      <c r="V25" s="3" t="s">
        <v>12</v>
      </c>
      <c r="W25" s="3">
        <v>0</v>
      </c>
      <c r="X25" s="3" t="s">
        <v>34</v>
      </c>
      <c r="Y25" s="3">
        <f>W25*L19</f>
        <v>0</v>
      </c>
      <c r="Z25" s="3" t="s">
        <v>16</v>
      </c>
    </row>
    <row r="26" spans="1:26" x14ac:dyDescent="0.25">
      <c r="N26" s="3" t="s">
        <v>8</v>
      </c>
      <c r="O26" s="3" t="s">
        <v>32</v>
      </c>
      <c r="P26" s="3" t="s">
        <v>33</v>
      </c>
      <c r="Q26" s="3" t="s">
        <v>11</v>
      </c>
      <c r="R26" s="3"/>
      <c r="S26" s="3"/>
      <c r="T26" s="3" t="s">
        <v>37</v>
      </c>
      <c r="U26" s="3" t="s">
        <v>33</v>
      </c>
      <c r="V26" s="3" t="s">
        <v>11</v>
      </c>
      <c r="W26" s="3">
        <v>0.2</v>
      </c>
      <c r="X26" s="3" t="s">
        <v>38</v>
      </c>
      <c r="Y26" s="3">
        <f>W26*(Y5)</f>
        <v>4.7200000000000006</v>
      </c>
    </row>
    <row r="27" spans="1:26" x14ac:dyDescent="0.25">
      <c r="N27" s="3" t="s">
        <v>8</v>
      </c>
      <c r="O27" s="3" t="s">
        <v>32</v>
      </c>
      <c r="P27" s="3" t="s">
        <v>33</v>
      </c>
      <c r="Q27" s="3" t="s">
        <v>11</v>
      </c>
      <c r="R27" s="3"/>
      <c r="S27" s="3"/>
      <c r="T27" s="3" t="s">
        <v>37</v>
      </c>
      <c r="U27" s="3" t="s">
        <v>33</v>
      </c>
      <c r="V27" s="3" t="s">
        <v>11</v>
      </c>
      <c r="W27" s="3">
        <v>0.2</v>
      </c>
      <c r="X27" s="3" t="s">
        <v>38</v>
      </c>
      <c r="Y27" s="3">
        <f>W27*(Y6)</f>
        <v>3.1152000000000006</v>
      </c>
      <c r="Z27" s="3" t="s">
        <v>14</v>
      </c>
    </row>
    <row r="28" spans="1:26" x14ac:dyDescent="0.25">
      <c r="N28" s="3" t="s">
        <v>8</v>
      </c>
      <c r="O28" s="3" t="s">
        <v>32</v>
      </c>
      <c r="P28" s="3" t="s">
        <v>33</v>
      </c>
      <c r="Q28" s="3" t="s">
        <v>11</v>
      </c>
      <c r="R28" s="3"/>
      <c r="S28" s="3"/>
      <c r="T28" s="3" t="s">
        <v>37</v>
      </c>
      <c r="U28" s="3" t="s">
        <v>33</v>
      </c>
      <c r="V28" s="3" t="s">
        <v>11</v>
      </c>
      <c r="W28" s="3">
        <v>0.2</v>
      </c>
      <c r="X28" s="3" t="s">
        <v>38</v>
      </c>
      <c r="Y28" s="3">
        <f>W28*(Y7)</f>
        <v>1.6048000000000002</v>
      </c>
      <c r="Z28" s="3" t="s">
        <v>16</v>
      </c>
    </row>
    <row r="29" spans="1:26" x14ac:dyDescent="0.25">
      <c r="N29" s="3" t="s">
        <v>13</v>
      </c>
      <c r="O29" s="3" t="s">
        <v>32</v>
      </c>
      <c r="P29" s="3" t="s">
        <v>33</v>
      </c>
      <c r="Q29" s="3" t="s">
        <v>11</v>
      </c>
      <c r="R29" s="3"/>
      <c r="S29" s="3"/>
      <c r="T29" s="3" t="s">
        <v>37</v>
      </c>
      <c r="U29" s="3" t="s">
        <v>33</v>
      </c>
      <c r="V29" s="3" t="s">
        <v>11</v>
      </c>
      <c r="W29" s="3">
        <v>0.2</v>
      </c>
      <c r="X29" s="3" t="s">
        <v>38</v>
      </c>
      <c r="Y29" s="3">
        <f>W29*Y11</f>
        <v>4.3120000000000003</v>
      </c>
    </row>
    <row r="30" spans="1:26" x14ac:dyDescent="0.25">
      <c r="N30" s="3" t="s">
        <v>13</v>
      </c>
      <c r="O30" s="3" t="s">
        <v>32</v>
      </c>
      <c r="P30" s="3" t="s">
        <v>33</v>
      </c>
      <c r="Q30" s="3" t="s">
        <v>11</v>
      </c>
      <c r="R30" s="3"/>
      <c r="S30" s="3"/>
      <c r="T30" s="3" t="s">
        <v>37</v>
      </c>
      <c r="U30" s="3" t="s">
        <v>33</v>
      </c>
      <c r="V30" s="3" t="s">
        <v>11</v>
      </c>
      <c r="W30" s="3">
        <v>0.2</v>
      </c>
      <c r="X30" s="3" t="s">
        <v>38</v>
      </c>
      <c r="Y30" s="3">
        <f>W30*Y12</f>
        <v>3.8376800000000006</v>
      </c>
      <c r="Z30" s="3" t="s">
        <v>14</v>
      </c>
    </row>
    <row r="31" spans="1:26" x14ac:dyDescent="0.25">
      <c r="N31" s="3" t="s">
        <v>13</v>
      </c>
      <c r="O31" s="3" t="s">
        <v>32</v>
      </c>
      <c r="P31" s="3" t="s">
        <v>33</v>
      </c>
      <c r="Q31" s="3" t="s">
        <v>11</v>
      </c>
      <c r="R31" s="3"/>
      <c r="S31" s="3"/>
      <c r="T31" s="3" t="s">
        <v>37</v>
      </c>
      <c r="U31" s="3" t="s">
        <v>33</v>
      </c>
      <c r="V31" s="3" t="s">
        <v>11</v>
      </c>
      <c r="W31" s="3">
        <v>0.2</v>
      </c>
      <c r="X31" s="3" t="s">
        <v>38</v>
      </c>
      <c r="Y31" s="3">
        <f>W31*Y13</f>
        <v>0.47432000000000007</v>
      </c>
      <c r="Z31" s="3" t="s">
        <v>16</v>
      </c>
    </row>
    <row r="32" spans="1:26" x14ac:dyDescent="0.25">
      <c r="O32" t="s">
        <v>32</v>
      </c>
      <c r="P32" t="s">
        <v>33</v>
      </c>
      <c r="Q32" t="s">
        <v>9</v>
      </c>
      <c r="T32" t="s">
        <v>39</v>
      </c>
      <c r="U32" t="s">
        <v>40</v>
      </c>
      <c r="V32" t="s">
        <v>14</v>
      </c>
      <c r="W32">
        <v>0.39</v>
      </c>
      <c r="X32" t="s">
        <v>38</v>
      </c>
    </row>
    <row r="33" spans="14:26" x14ac:dyDescent="0.25">
      <c r="O33" t="s">
        <v>32</v>
      </c>
      <c r="P33" t="s">
        <v>33</v>
      </c>
      <c r="Q33" t="s">
        <v>9</v>
      </c>
      <c r="T33" t="s">
        <v>39</v>
      </c>
      <c r="U33" t="s">
        <v>40</v>
      </c>
      <c r="V33" t="s">
        <v>16</v>
      </c>
      <c r="W33">
        <v>0.32</v>
      </c>
      <c r="X33" t="s">
        <v>38</v>
      </c>
    </row>
    <row r="34" spans="14:26" x14ac:dyDescent="0.25">
      <c r="O34" t="s">
        <v>32</v>
      </c>
      <c r="P34" t="s">
        <v>33</v>
      </c>
      <c r="Q34" t="s">
        <v>11</v>
      </c>
      <c r="T34" t="s">
        <v>39</v>
      </c>
      <c r="U34" t="s">
        <v>40</v>
      </c>
      <c r="V34" t="s">
        <v>14</v>
      </c>
      <c r="W34">
        <v>0.1</v>
      </c>
      <c r="X34" t="s">
        <v>38</v>
      </c>
    </row>
    <row r="35" spans="14:26" x14ac:dyDescent="0.25">
      <c r="O35" t="s">
        <v>32</v>
      </c>
      <c r="P35" t="s">
        <v>33</v>
      </c>
      <c r="Q35" t="s">
        <v>11</v>
      </c>
      <c r="T35" t="s">
        <v>39</v>
      </c>
      <c r="U35" t="s">
        <v>40</v>
      </c>
      <c r="V35" t="s">
        <v>16</v>
      </c>
      <c r="W35">
        <v>0.5</v>
      </c>
      <c r="X35" t="s">
        <v>38</v>
      </c>
    </row>
    <row r="36" spans="14:26" x14ac:dyDescent="0.25">
      <c r="N36" s="3" t="s">
        <v>8</v>
      </c>
      <c r="O36" s="3" t="s">
        <v>35</v>
      </c>
      <c r="P36" s="3" t="s">
        <v>33</v>
      </c>
      <c r="Q36" s="3" t="s">
        <v>11</v>
      </c>
      <c r="R36" s="3"/>
      <c r="S36" s="3"/>
      <c r="T36" s="3" t="s">
        <v>36</v>
      </c>
      <c r="U36" s="3" t="s">
        <v>33</v>
      </c>
      <c r="V36" s="3" t="s">
        <v>11</v>
      </c>
      <c r="W36" s="3">
        <v>0.34</v>
      </c>
      <c r="X36" s="3" t="s">
        <v>41</v>
      </c>
      <c r="Y36" s="3">
        <f>W36*(Y14)</f>
        <v>8.0240000000000009</v>
      </c>
    </row>
    <row r="37" spans="14:26" x14ac:dyDescent="0.25">
      <c r="N37" s="3" t="s">
        <v>8</v>
      </c>
      <c r="O37" s="3" t="s">
        <v>35</v>
      </c>
      <c r="P37" s="3" t="s">
        <v>33</v>
      </c>
      <c r="Q37" s="3" t="s">
        <v>11</v>
      </c>
      <c r="R37" s="3"/>
      <c r="S37" s="3"/>
      <c r="T37" s="3" t="s">
        <v>36</v>
      </c>
      <c r="U37" s="3" t="s">
        <v>33</v>
      </c>
      <c r="V37" s="3" t="s">
        <v>11</v>
      </c>
      <c r="W37" s="3">
        <v>0.34</v>
      </c>
      <c r="X37" s="3" t="s">
        <v>41</v>
      </c>
      <c r="Y37" s="3">
        <f>W37*(Y15)</f>
        <v>5.295840000000001</v>
      </c>
      <c r="Z37" s="3" t="s">
        <v>14</v>
      </c>
    </row>
    <row r="38" spans="14:26" x14ac:dyDescent="0.25">
      <c r="N38" s="3" t="s">
        <v>8</v>
      </c>
      <c r="O38" s="3" t="s">
        <v>35</v>
      </c>
      <c r="P38" s="3" t="s">
        <v>33</v>
      </c>
      <c r="Q38" s="3" t="s">
        <v>11</v>
      </c>
      <c r="R38" s="3"/>
      <c r="S38" s="3"/>
      <c r="T38" s="3" t="s">
        <v>36</v>
      </c>
      <c r="U38" s="3" t="s">
        <v>33</v>
      </c>
      <c r="V38" s="3" t="s">
        <v>11</v>
      </c>
      <c r="W38" s="3">
        <v>0.34</v>
      </c>
      <c r="X38" s="3" t="s">
        <v>41</v>
      </c>
      <c r="Y38" s="3">
        <f>W38*(Y16)</f>
        <v>2.7281600000000004</v>
      </c>
      <c r="Z38" s="3" t="s">
        <v>16</v>
      </c>
    </row>
    <row r="39" spans="14:26" x14ac:dyDescent="0.25">
      <c r="N39" s="3" t="s">
        <v>13</v>
      </c>
      <c r="O39" s="3" t="s">
        <v>35</v>
      </c>
      <c r="P39" s="3" t="s">
        <v>33</v>
      </c>
      <c r="Q39" s="3" t="s">
        <v>11</v>
      </c>
      <c r="R39" s="3"/>
      <c r="S39" s="3"/>
      <c r="T39" s="3" t="s">
        <v>36</v>
      </c>
      <c r="U39" s="3" t="s">
        <v>33</v>
      </c>
      <c r="V39" s="3" t="s">
        <v>11</v>
      </c>
      <c r="W39" s="3">
        <v>0.34</v>
      </c>
      <c r="X39" s="3" t="s">
        <v>41</v>
      </c>
      <c r="Y39" s="3">
        <f>W39*(Y20)</f>
        <v>3.6652000000000005</v>
      </c>
    </row>
    <row r="40" spans="14:26" x14ac:dyDescent="0.25">
      <c r="N40" s="3" t="s">
        <v>8</v>
      </c>
      <c r="O40" s="3" t="s">
        <v>35</v>
      </c>
      <c r="P40" s="3" t="s">
        <v>33</v>
      </c>
      <c r="Q40" s="3" t="s">
        <v>12</v>
      </c>
      <c r="R40" s="3"/>
      <c r="S40" s="3"/>
      <c r="T40" s="3" t="s">
        <v>36</v>
      </c>
      <c r="U40" s="3" t="s">
        <v>33</v>
      </c>
      <c r="V40" s="3" t="s">
        <v>12</v>
      </c>
      <c r="W40" s="3">
        <v>0.14000000000000001</v>
      </c>
      <c r="X40" s="3" t="s">
        <v>41</v>
      </c>
      <c r="Y40" s="3">
        <f>W40*(Y17)</f>
        <v>1.7920000000000003</v>
      </c>
    </row>
    <row r="41" spans="14:26" x14ac:dyDescent="0.25">
      <c r="N41" s="3" t="s">
        <v>13</v>
      </c>
      <c r="O41" s="3" t="s">
        <v>35</v>
      </c>
      <c r="P41" s="3" t="s">
        <v>33</v>
      </c>
      <c r="Q41" s="3" t="s">
        <v>12</v>
      </c>
      <c r="R41" s="3"/>
      <c r="S41" s="3"/>
      <c r="T41" s="3" t="s">
        <v>36</v>
      </c>
      <c r="U41" s="3" t="s">
        <v>33</v>
      </c>
      <c r="V41" s="3" t="s">
        <v>12</v>
      </c>
      <c r="W41" s="3">
        <v>0.14000000000000001</v>
      </c>
      <c r="X41" s="3" t="s">
        <v>41</v>
      </c>
      <c r="Y41" s="3">
        <f>W41*(Y23)</f>
        <v>0</v>
      </c>
    </row>
    <row r="42" spans="14:26" x14ac:dyDescent="0.25">
      <c r="N42" s="3" t="s">
        <v>8</v>
      </c>
      <c r="O42" s="3" t="s">
        <v>37</v>
      </c>
      <c r="P42" s="3" t="s">
        <v>33</v>
      </c>
      <c r="Q42" s="3" t="s">
        <v>11</v>
      </c>
      <c r="R42" s="3"/>
      <c r="S42" s="3"/>
      <c r="T42" s="3" t="s">
        <v>36</v>
      </c>
      <c r="U42" s="3" t="s">
        <v>33</v>
      </c>
      <c r="V42" s="3" t="s">
        <v>11</v>
      </c>
      <c r="W42" s="3">
        <v>0.38</v>
      </c>
      <c r="X42" s="3" t="s">
        <v>41</v>
      </c>
      <c r="Y42" s="3">
        <f>W42*Y26</f>
        <v>1.7936000000000003</v>
      </c>
    </row>
    <row r="43" spans="14:26" x14ac:dyDescent="0.25">
      <c r="N43" s="3" t="s">
        <v>8</v>
      </c>
      <c r="O43" s="3" t="s">
        <v>37</v>
      </c>
      <c r="P43" s="3" t="s">
        <v>33</v>
      </c>
      <c r="Q43" s="3" t="s">
        <v>11</v>
      </c>
      <c r="R43" s="3"/>
      <c r="S43" s="3"/>
      <c r="T43" s="3" t="s">
        <v>36</v>
      </c>
      <c r="U43" s="3" t="s">
        <v>33</v>
      </c>
      <c r="V43" s="3" t="s">
        <v>11</v>
      </c>
      <c r="W43" s="3">
        <v>0.38</v>
      </c>
      <c r="X43" s="3" t="s">
        <v>41</v>
      </c>
      <c r="Y43" s="3">
        <f>W43*Y27</f>
        <v>1.1837760000000002</v>
      </c>
      <c r="Z43" s="3" t="s">
        <v>14</v>
      </c>
    </row>
    <row r="44" spans="14:26" x14ac:dyDescent="0.25">
      <c r="N44" s="3" t="s">
        <v>8</v>
      </c>
      <c r="O44" s="3" t="s">
        <v>37</v>
      </c>
      <c r="P44" s="3" t="s">
        <v>33</v>
      </c>
      <c r="Q44" s="3" t="s">
        <v>11</v>
      </c>
      <c r="R44" s="3"/>
      <c r="S44" s="3"/>
      <c r="T44" s="3" t="s">
        <v>36</v>
      </c>
      <c r="U44" s="3" t="s">
        <v>33</v>
      </c>
      <c r="V44" s="3" t="s">
        <v>11</v>
      </c>
      <c r="W44" s="3">
        <v>0.38</v>
      </c>
      <c r="X44" s="3" t="s">
        <v>41</v>
      </c>
      <c r="Y44" s="3">
        <f>W44*Y28</f>
        <v>0.60982400000000014</v>
      </c>
      <c r="Z44" s="3" t="s">
        <v>16</v>
      </c>
    </row>
    <row r="45" spans="14:26" x14ac:dyDescent="0.25">
      <c r="N45" s="3" t="s">
        <v>13</v>
      </c>
      <c r="O45" s="3" t="s">
        <v>37</v>
      </c>
      <c r="P45" s="3" t="s">
        <v>33</v>
      </c>
      <c r="Q45" s="3" t="s">
        <v>11</v>
      </c>
      <c r="R45" s="3"/>
      <c r="S45" s="3"/>
      <c r="T45" s="3" t="s">
        <v>36</v>
      </c>
      <c r="U45" s="3" t="s">
        <v>33</v>
      </c>
      <c r="V45" s="3" t="s">
        <v>11</v>
      </c>
      <c r="W45" s="3">
        <v>0.38</v>
      </c>
      <c r="X45" s="3" t="s">
        <v>41</v>
      </c>
      <c r="Y45" s="3">
        <f>W45*Y29</f>
        <v>1.63856</v>
      </c>
    </row>
    <row r="46" spans="14:26" x14ac:dyDescent="0.25">
      <c r="O46" t="s">
        <v>35</v>
      </c>
      <c r="P46" t="s">
        <v>33</v>
      </c>
      <c r="Q46" t="s">
        <v>11</v>
      </c>
      <c r="T46" t="s">
        <v>42</v>
      </c>
      <c r="U46" t="s">
        <v>40</v>
      </c>
      <c r="V46" t="s">
        <v>14</v>
      </c>
      <c r="W46">
        <v>0.08</v>
      </c>
      <c r="X46" t="s">
        <v>41</v>
      </c>
    </row>
    <row r="47" spans="14:26" x14ac:dyDescent="0.25">
      <c r="O47" t="s">
        <v>35</v>
      </c>
      <c r="P47" t="s">
        <v>33</v>
      </c>
      <c r="Q47" t="s">
        <v>11</v>
      </c>
      <c r="T47" t="s">
        <v>42</v>
      </c>
      <c r="U47" t="s">
        <v>40</v>
      </c>
      <c r="V47" t="s">
        <v>16</v>
      </c>
      <c r="W47">
        <v>0.18</v>
      </c>
      <c r="X47" t="s">
        <v>41</v>
      </c>
    </row>
    <row r="48" spans="14:26" x14ac:dyDescent="0.25">
      <c r="O48" t="s">
        <v>35</v>
      </c>
      <c r="P48" t="s">
        <v>33</v>
      </c>
      <c r="Q48" t="s">
        <v>12</v>
      </c>
      <c r="T48" t="s">
        <v>42</v>
      </c>
      <c r="U48" t="s">
        <v>40</v>
      </c>
      <c r="V48" t="s">
        <v>14</v>
      </c>
      <c r="W48">
        <v>0.13</v>
      </c>
      <c r="X48" t="s">
        <v>41</v>
      </c>
    </row>
    <row r="49" spans="14:24" x14ac:dyDescent="0.25">
      <c r="O49" t="s">
        <v>35</v>
      </c>
      <c r="P49" t="s">
        <v>33</v>
      </c>
      <c r="Q49" t="s">
        <v>12</v>
      </c>
      <c r="T49" t="s">
        <v>42</v>
      </c>
      <c r="U49" t="s">
        <v>40</v>
      </c>
      <c r="V49" t="s">
        <v>16</v>
      </c>
      <c r="W49">
        <v>0.39</v>
      </c>
      <c r="X49" t="s">
        <v>41</v>
      </c>
    </row>
    <row r="50" spans="14:24" x14ac:dyDescent="0.25">
      <c r="O50" t="s">
        <v>37</v>
      </c>
      <c r="P50" t="s">
        <v>33</v>
      </c>
      <c r="Q50" t="s">
        <v>11</v>
      </c>
      <c r="T50" t="s">
        <v>42</v>
      </c>
      <c r="U50" t="s">
        <v>40</v>
      </c>
      <c r="V50" t="s">
        <v>14</v>
      </c>
      <c r="W50">
        <v>0.18</v>
      </c>
      <c r="X50" t="s">
        <v>41</v>
      </c>
    </row>
    <row r="51" spans="14:24" x14ac:dyDescent="0.25">
      <c r="O51" t="s">
        <v>37</v>
      </c>
      <c r="P51" t="s">
        <v>33</v>
      </c>
      <c r="Q51" t="s">
        <v>11</v>
      </c>
      <c r="T51" t="s">
        <v>42</v>
      </c>
      <c r="U51" t="s">
        <v>40</v>
      </c>
      <c r="V51" t="s">
        <v>16</v>
      </c>
      <c r="W51">
        <v>0.21</v>
      </c>
      <c r="X51" t="s">
        <v>41</v>
      </c>
    </row>
    <row r="52" spans="14:24" x14ac:dyDescent="0.25">
      <c r="N5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YAMAMOTO</dc:creator>
  <cp:lastModifiedBy>Tales YAMAMOTO</cp:lastModifiedBy>
  <dcterms:created xsi:type="dcterms:W3CDTF">2024-05-01T06:43:28Z</dcterms:created>
  <dcterms:modified xsi:type="dcterms:W3CDTF">2024-05-01T08:00:09Z</dcterms:modified>
</cp:coreProperties>
</file>