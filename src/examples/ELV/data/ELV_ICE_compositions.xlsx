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626"/>
  <workbookPr/>
  <mc:AlternateContent xmlns:mc="http://schemas.openxmlformats.org/markup-compatibility/2006">
    <mc:Choice Requires="x15">
      <x15ac:absPath xmlns:x15ac="http://schemas.microsoft.com/office/spreadsheetml/2010/11/ac" url="https://chalmers-my.sharepoint.com/personal/dasd_chalmers_se/Documents/Deep_FutuRaM/Models/IntegratedModel_ELV/src/examples/ELV/data/"/>
    </mc:Choice>
  </mc:AlternateContent>
  <xr:revisionPtr revIDLastSave="85" documentId="11_F25DC773A252ABDACC1048AF511F74D45ADE58EE" xr6:coauthVersionLast="47" xr6:coauthVersionMax="47" xr10:uidLastSave="{F9C72A4F-A77E-4199-8452-9420D548729B}"/>
  <bookViews>
    <workbookView xWindow="28680" yWindow="-120" windowWidth="29040" windowHeight="15720" activeTab="3" xr2:uid="{00000000-000D-0000-FFFF-FFFF00000000}"/>
  </bookViews>
  <sheets>
    <sheet name="ELV_ICE_composition" sheetId="1" r:id="rId1"/>
    <sheet name="ELV_ICE_flows" sheetId="2" r:id="rId2"/>
    <sheet name="ELV_ICE_processes" sheetId="3" r:id="rId3"/>
    <sheet name="ELV_ICE_TCs" sheetId="4" r:id="rId4"/>
  </sheets>
  <definedNames>
    <definedName name="_xlnm._FilterDatabase" localSheetId="1" hidden="1">ELV_ICE_flows!$A$1:$C$1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2" i="3" l="1"/>
  <c r="I11" i="3"/>
  <c r="I10" i="3"/>
  <c r="I9" i="3"/>
  <c r="I8" i="3"/>
  <c r="I7" i="3"/>
  <c r="I6" i="3"/>
  <c r="I5" i="3"/>
  <c r="I3" i="3"/>
  <c r="I2" i="3"/>
</calcChain>
</file>

<file path=xl/sharedStrings.xml><?xml version="1.0" encoding="utf-8"?>
<sst xmlns="http://schemas.openxmlformats.org/spreadsheetml/2006/main" count="480" uniqueCount="153">
  <si>
    <t>castAluminium</t>
  </si>
  <si>
    <t>wroughtAluminium</t>
  </si>
  <si>
    <t>mildSteel</t>
  </si>
  <si>
    <t>highStrengthSteel</t>
  </si>
  <si>
    <t>castIron</t>
  </si>
  <si>
    <t>magnesium</t>
  </si>
  <si>
    <t>year</t>
  </si>
  <si>
    <t>Ag</t>
  </si>
  <si>
    <t>Al</t>
  </si>
  <si>
    <t>Au</t>
  </si>
  <si>
    <t>Cu</t>
  </si>
  <si>
    <t>Dy</t>
  </si>
  <si>
    <t>Fe</t>
  </si>
  <si>
    <t>La</t>
  </si>
  <si>
    <t>Mg</t>
  </si>
  <si>
    <t>Mn</t>
  </si>
  <si>
    <t>Mo</t>
  </si>
  <si>
    <t>Nb</t>
  </si>
  <si>
    <t>Nd</t>
  </si>
  <si>
    <t>Pd</t>
  </si>
  <si>
    <t>Pt</t>
  </si>
  <si>
    <t>Rh</t>
  </si>
  <si>
    <t>Si</t>
  </si>
  <si>
    <t>V00000000</t>
  </si>
  <si>
    <t>catalyst</t>
  </si>
  <si>
    <t>EESystem</t>
  </si>
  <si>
    <t>powerElectronics</t>
  </si>
  <si>
    <t>BMS</t>
  </si>
  <si>
    <t>tractionMotorInduction</t>
  </si>
  <si>
    <t>tractionMotorPM</t>
  </si>
  <si>
    <t>V00000001</t>
  </si>
  <si>
    <t>component/material</t>
  </si>
  <si>
    <t>ELV_vehicle_key</t>
  </si>
  <si>
    <t>ELV_number</t>
  </si>
  <si>
    <t>process_from</t>
  </si>
  <si>
    <t>process_to</t>
  </si>
  <si>
    <t>composition</t>
  </si>
  <si>
    <t>collection_ICE</t>
  </si>
  <si>
    <t>dismantling_ICE</t>
  </si>
  <si>
    <t>ELV_ICE</t>
  </si>
  <si>
    <t>PutOnMarket_ICE</t>
  </si>
  <si>
    <t>market_reuse_ELVcomponents</t>
  </si>
  <si>
    <t>shredding_batt</t>
  </si>
  <si>
    <t>ELV_ICE_batt</t>
  </si>
  <si>
    <t>hammermill_body</t>
  </si>
  <si>
    <t>ELV_ICE_body</t>
  </si>
  <si>
    <t>smelter_cc</t>
  </si>
  <si>
    <t>ELV_ICE_catconv</t>
  </si>
  <si>
    <t>shredding_elec</t>
  </si>
  <si>
    <t>ELV_ICE_elec</t>
  </si>
  <si>
    <t>shredding_engtrans</t>
  </si>
  <si>
    <t>ELV_ICE_engtrans</t>
  </si>
  <si>
    <t>market_waste_oil</t>
  </si>
  <si>
    <t>ELV_ICE_liquids</t>
  </si>
  <si>
    <t>shredding_tyre</t>
  </si>
  <si>
    <t>ELV_ICE_tyres</t>
  </si>
  <si>
    <t>ELV_ICE_parts</t>
  </si>
  <si>
    <t>smelter_ferrous</t>
  </si>
  <si>
    <t>ELV_ICE_fe</t>
  </si>
  <si>
    <t>smelter_nonferrous</t>
  </si>
  <si>
    <t>ELV_ICE_nfe</t>
  </si>
  <si>
    <t>market_waste</t>
  </si>
  <si>
    <t>ELV_ICE_waste_shredder</t>
  </si>
  <si>
    <t>market_waste_plastic</t>
  </si>
  <si>
    <t>ALL_plastic</t>
  </si>
  <si>
    <t>market_H2SO4</t>
  </si>
  <si>
    <t>H2SO4</t>
  </si>
  <si>
    <t>market_lead</t>
  </si>
  <si>
    <t>Pb</t>
  </si>
  <si>
    <t>market_waste_glass</t>
  </si>
  <si>
    <t>ALL_glass</t>
  </si>
  <si>
    <t>market_waste_rubber</t>
  </si>
  <si>
    <t>ALL_rubber</t>
  </si>
  <si>
    <t>market_waste_slag</t>
  </si>
  <si>
    <t>ALL_slag_ree</t>
  </si>
  <si>
    <t>market_ree</t>
  </si>
  <si>
    <t>ELV_ICE_ree</t>
  </si>
  <si>
    <t>market_ferrous</t>
  </si>
  <si>
    <t>ELV_ICE_slag_fe</t>
  </si>
  <si>
    <t>market_nonferrous</t>
  </si>
  <si>
    <t>ELV_ICE_slag_nfe</t>
  </si>
  <si>
    <t>name</t>
  </si>
  <si>
    <t>uuid</t>
  </si>
  <si>
    <t>description</t>
  </si>
  <si>
    <t>tags</t>
  </si>
  <si>
    <t>WS</t>
  </si>
  <si>
    <t>transformation_level</t>
  </si>
  <si>
    <t>consumption_energy</t>
  </si>
  <si>
    <t>consumption_water</t>
  </si>
  <si>
    <t>cost_operation</t>
  </si>
  <si>
    <t>ELV_cl_ice</t>
  </si>
  <si>
    <t>collection of an ice car</t>
  </si>
  <si>
    <t>collection</t>
  </si>
  <si>
    <t>ELV</t>
  </si>
  <si>
    <t>market</t>
  </si>
  <si>
    <t>ELV_dm_ice</t>
  </si>
  <si>
    <t>manual dismantling of an ice car</t>
  </si>
  <si>
    <t>manual, mechanical</t>
  </si>
  <si>
    <t>component</t>
  </si>
  <si>
    <t>ELV_ru_com</t>
  </si>
  <si>
    <t>direct or indirect reuse of components from an elv</t>
  </si>
  <si>
    <t>ELV_sh_et</t>
  </si>
  <si>
    <t>shredding of car engine and transmission</t>
  </si>
  <si>
    <t>shredding</t>
  </si>
  <si>
    <t>material</t>
  </si>
  <si>
    <t>ELV_hm_b</t>
  </si>
  <si>
    <t>hammermillilng of car body</t>
  </si>
  <si>
    <t>mechanical</t>
  </si>
  <si>
    <t>ELV_sh_cc</t>
  </si>
  <si>
    <t>smelting of catalytic converters</t>
  </si>
  <si>
    <t>smelter</t>
  </si>
  <si>
    <t>element</t>
  </si>
  <si>
    <t>ELV_sh_t</t>
  </si>
  <si>
    <t>shredding of tyres</t>
  </si>
  <si>
    <t>ELV_sh_e</t>
  </si>
  <si>
    <t>shredding of electrical components</t>
  </si>
  <si>
    <t>ELV_sh_b</t>
  </si>
  <si>
    <t>shredding of a lead acid battery</t>
  </si>
  <si>
    <t>ELV_sm_nf</t>
  </si>
  <si>
    <t>smelting of nonferrous fractions</t>
  </si>
  <si>
    <t>ELV_sm_f</t>
  </si>
  <si>
    <t>smelting of ferrous fractions</t>
  </si>
  <si>
    <t>mkt_w_rub</t>
  </si>
  <si>
    <t>market for waste rubber</t>
  </si>
  <si>
    <t>mkt_w_ree</t>
  </si>
  <si>
    <t>market for waste REE mix</t>
  </si>
  <si>
    <t>mkt_w_pb</t>
  </si>
  <si>
    <t>market for waste lead</t>
  </si>
  <si>
    <t>mkt_w_H2SO4</t>
  </si>
  <si>
    <t>market for waste H2SO4</t>
  </si>
  <si>
    <t>mkt_w_nfe</t>
  </si>
  <si>
    <t>market for waste non-ferrous</t>
  </si>
  <si>
    <t>mkt_w_fe</t>
  </si>
  <si>
    <t>market for waste ferrous</t>
  </si>
  <si>
    <t>mkt_w_gen</t>
  </si>
  <si>
    <t>market for waste (general)</t>
  </si>
  <si>
    <t>mkt_w_gls</t>
  </si>
  <si>
    <t>market for waste glass</t>
  </si>
  <si>
    <t>mkt_w_pla</t>
  </si>
  <si>
    <t>market for waste plastic</t>
  </si>
  <si>
    <t>mkt_w_slag</t>
  </si>
  <si>
    <t>market for waste slag</t>
  </si>
  <si>
    <t>market for waste oil</t>
  </si>
  <si>
    <t>ELV_pom_ice</t>
  </si>
  <si>
    <t>put on market for ICE vehicles</t>
  </si>
  <si>
    <t>input</t>
  </si>
  <si>
    <t>process</t>
  </si>
  <si>
    <t>flow_input</t>
  </si>
  <si>
    <t>flow_output</t>
  </si>
  <si>
    <t>transfer_coefficient</t>
  </si>
  <si>
    <t>uncertainty</t>
  </si>
  <si>
    <t>none</t>
  </si>
  <si>
    <t>NEW_ICE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</si>
</sst>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TeX Gyre Pagella"/>
      <charset val="1"/>
    </font>
    <font>
      <b/>
      <sz val="10"/>
      <name val="TeX Gyre Pagella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9"/>
  <sheetViews>
    <sheetView workbookViewId="0">
      <selection activeCell="S1" sqref="S1"/>
    </sheetView>
  </sheetViews>
  <sheetFormatPr defaultRowHeight="14.5"/>
  <cols>
    <col min="1" max="1" width="11" bestFit="1" customWidth="1"/>
    <col min="2" max="2" width="4.81640625" bestFit="1" customWidth="1"/>
    <col min="3" max="3" width="4.81640625" customWidth="1"/>
    <col min="4" max="4" width="21.08984375" bestFit="1" customWidth="1"/>
  </cols>
  <sheetData>
    <row r="1" spans="1:20">
      <c r="A1" s="2" t="s">
        <v>32</v>
      </c>
      <c r="B1" s="1" t="s">
        <v>6</v>
      </c>
      <c r="C1" s="1" t="s">
        <v>33</v>
      </c>
      <c r="D1" s="1" t="s">
        <v>31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</row>
    <row r="2" spans="1:20">
      <c r="A2" s="1" t="s">
        <v>23</v>
      </c>
      <c r="B2">
        <v>2022</v>
      </c>
      <c r="C2">
        <v>5</v>
      </c>
      <c r="D2" t="s">
        <v>0</v>
      </c>
      <c r="E2">
        <v>0</v>
      </c>
      <c r="F2">
        <v>93.057934887431799</v>
      </c>
      <c r="G2">
        <v>0</v>
      </c>
      <c r="H2">
        <v>1.19847717011151</v>
      </c>
      <c r="I2">
        <v>0</v>
      </c>
      <c r="J2">
        <v>0.29651212949425498</v>
      </c>
      <c r="K2">
        <v>0</v>
      </c>
      <c r="L2">
        <v>0.222827977554066</v>
      </c>
      <c r="M2">
        <v>0.119847717011151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9.0107727975050604</v>
      </c>
    </row>
    <row r="3" spans="1:20">
      <c r="A3" s="1" t="s">
        <v>23</v>
      </c>
      <c r="B3">
        <v>2022</v>
      </c>
      <c r="C3">
        <v>5</v>
      </c>
      <c r="D3" t="s">
        <v>1</v>
      </c>
      <c r="E3">
        <v>0</v>
      </c>
      <c r="F3">
        <v>59.771981600989797</v>
      </c>
      <c r="G3">
        <v>0</v>
      </c>
      <c r="H3">
        <v>6.6808597089434499E-3</v>
      </c>
      <c r="I3">
        <v>0</v>
      </c>
      <c r="J3">
        <v>6.1241213998648299E-2</v>
      </c>
      <c r="K3">
        <v>0</v>
      </c>
      <c r="L3">
        <v>0.65138382162198605</v>
      </c>
      <c r="M3">
        <v>0.31502109322031902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0.324392854756476</v>
      </c>
    </row>
    <row r="4" spans="1:20">
      <c r="A4" s="1" t="s">
        <v>23</v>
      </c>
      <c r="B4">
        <v>2022</v>
      </c>
      <c r="C4">
        <v>5</v>
      </c>
      <c r="D4" t="s">
        <v>2</v>
      </c>
      <c r="E4">
        <v>0</v>
      </c>
      <c r="F4">
        <v>0</v>
      </c>
      <c r="G4">
        <v>0</v>
      </c>
      <c r="H4">
        <v>0.78597703423645204</v>
      </c>
      <c r="I4">
        <v>0</v>
      </c>
      <c r="J4">
        <v>385.12874677586098</v>
      </c>
      <c r="K4">
        <v>0</v>
      </c>
      <c r="L4">
        <v>0</v>
      </c>
      <c r="M4">
        <v>4.0477817263177203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1.1003678479310299</v>
      </c>
    </row>
    <row r="5" spans="1:20">
      <c r="A5" s="1" t="s">
        <v>23</v>
      </c>
      <c r="B5">
        <v>2022</v>
      </c>
      <c r="C5">
        <v>5</v>
      </c>
      <c r="D5" t="s">
        <v>3</v>
      </c>
      <c r="E5">
        <v>0</v>
      </c>
      <c r="F5">
        <v>0</v>
      </c>
      <c r="G5">
        <v>0</v>
      </c>
      <c r="H5">
        <v>0.37232166285045298</v>
      </c>
      <c r="I5">
        <v>0</v>
      </c>
      <c r="J5">
        <v>182.43761479672199</v>
      </c>
      <c r="K5">
        <v>0</v>
      </c>
      <c r="L5">
        <v>0</v>
      </c>
      <c r="M5">
        <v>1.8616083142522599</v>
      </c>
      <c r="N5">
        <v>0.19200765161313299</v>
      </c>
      <c r="O5">
        <v>7.7648996864170802E-2</v>
      </c>
      <c r="P5">
        <v>0</v>
      </c>
      <c r="Q5">
        <v>0</v>
      </c>
      <c r="R5">
        <v>0</v>
      </c>
      <c r="S5">
        <v>0</v>
      </c>
      <c r="T5">
        <v>0.52125032799063398</v>
      </c>
    </row>
    <row r="6" spans="1:20">
      <c r="A6" s="1" t="s">
        <v>23</v>
      </c>
      <c r="B6">
        <v>2022</v>
      </c>
      <c r="C6">
        <v>5</v>
      </c>
      <c r="D6" t="s">
        <v>4</v>
      </c>
      <c r="E6">
        <v>0</v>
      </c>
      <c r="F6">
        <v>0</v>
      </c>
      <c r="G6">
        <v>0</v>
      </c>
      <c r="H6">
        <v>0.22161702749062101</v>
      </c>
      <c r="I6">
        <v>0</v>
      </c>
      <c r="J6">
        <v>105.046471030554</v>
      </c>
      <c r="K6">
        <v>0</v>
      </c>
      <c r="L6">
        <v>0</v>
      </c>
      <c r="M6">
        <v>1.1080851374531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1.1080851374531</v>
      </c>
    </row>
    <row r="7" spans="1:20">
      <c r="A7" s="1" t="s">
        <v>23</v>
      </c>
      <c r="B7">
        <v>2022</v>
      </c>
      <c r="C7">
        <v>5</v>
      </c>
      <c r="D7" t="s">
        <v>5</v>
      </c>
      <c r="E7">
        <v>0</v>
      </c>
      <c r="F7">
        <v>0.467309999999999</v>
      </c>
      <c r="G7">
        <v>0</v>
      </c>
      <c r="H7">
        <v>0</v>
      </c>
      <c r="I7">
        <v>0</v>
      </c>
      <c r="J7">
        <v>0</v>
      </c>
      <c r="K7">
        <v>0</v>
      </c>
      <c r="L7">
        <v>5.1559869999999997</v>
      </c>
      <c r="M7">
        <v>1.2980833333333301E-2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</row>
    <row r="8" spans="1:20">
      <c r="A8" s="1" t="s">
        <v>23</v>
      </c>
      <c r="B8">
        <v>2022</v>
      </c>
      <c r="C8">
        <v>5</v>
      </c>
      <c r="D8" t="s">
        <v>24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3.7161087022900699E-3</v>
      </c>
      <c r="L8">
        <v>0</v>
      </c>
      <c r="M8">
        <v>0</v>
      </c>
      <c r="N8">
        <v>0</v>
      </c>
      <c r="O8">
        <v>0</v>
      </c>
      <c r="P8">
        <v>0</v>
      </c>
      <c r="Q8">
        <v>4.15217297297296E-3</v>
      </c>
      <c r="R8">
        <v>2.59022702702702E-3</v>
      </c>
      <c r="S8">
        <v>4.8159999999999902E-4</v>
      </c>
      <c r="T8">
        <v>0</v>
      </c>
    </row>
    <row r="9" spans="1:20">
      <c r="A9" s="1" t="s">
        <v>23</v>
      </c>
      <c r="B9">
        <v>2022</v>
      </c>
      <c r="C9">
        <v>5</v>
      </c>
      <c r="D9" t="s">
        <v>25</v>
      </c>
      <c r="E9">
        <v>8.5251508771929801E-3</v>
      </c>
      <c r="F9">
        <v>0</v>
      </c>
      <c r="G9">
        <v>1.5116528352234801E-3</v>
      </c>
      <c r="H9">
        <v>12.022794090773299</v>
      </c>
      <c r="I9">
        <v>5.1338879730712999E-3</v>
      </c>
      <c r="J9">
        <v>0</v>
      </c>
      <c r="K9">
        <v>2.09615235215053E-2</v>
      </c>
      <c r="L9">
        <v>0</v>
      </c>
      <c r="M9">
        <v>0</v>
      </c>
      <c r="N9">
        <v>0</v>
      </c>
      <c r="O9">
        <v>0</v>
      </c>
      <c r="P9">
        <v>4.4317602150537601E-2</v>
      </c>
      <c r="Q9">
        <v>2.9609999999999999E-4</v>
      </c>
      <c r="R9">
        <v>0</v>
      </c>
      <c r="S9">
        <v>0</v>
      </c>
      <c r="T9">
        <v>0</v>
      </c>
    </row>
    <row r="10" spans="1:20">
      <c r="A10" s="1" t="s">
        <v>23</v>
      </c>
      <c r="B10">
        <v>2022</v>
      </c>
      <c r="C10">
        <v>5</v>
      </c>
      <c r="D10" t="s">
        <v>26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</row>
    <row r="11" spans="1:20">
      <c r="A11" s="1" t="s">
        <v>23</v>
      </c>
      <c r="B11">
        <v>2022</v>
      </c>
      <c r="C11">
        <v>5</v>
      </c>
      <c r="D11" t="s">
        <v>27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</row>
    <row r="12" spans="1:20">
      <c r="A12" s="1" t="s">
        <v>23</v>
      </c>
      <c r="B12">
        <v>2022</v>
      </c>
      <c r="C12">
        <v>5</v>
      </c>
      <c r="D12" t="s">
        <v>28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</row>
    <row r="13" spans="1:20">
      <c r="A13" t="s">
        <v>23</v>
      </c>
      <c r="B13">
        <v>2022</v>
      </c>
      <c r="C13">
        <v>5</v>
      </c>
      <c r="D13" t="s">
        <v>29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</row>
    <row r="14" spans="1:20">
      <c r="A14" t="s">
        <v>30</v>
      </c>
      <c r="B14">
        <v>2022</v>
      </c>
      <c r="C14">
        <v>10</v>
      </c>
      <c r="D14" t="s">
        <v>0</v>
      </c>
      <c r="E14">
        <v>0</v>
      </c>
      <c r="F14">
        <v>93.057934887431799</v>
      </c>
      <c r="G14">
        <v>0</v>
      </c>
      <c r="H14">
        <v>1.19847717011151</v>
      </c>
      <c r="I14">
        <v>0</v>
      </c>
      <c r="J14">
        <v>0.29651212949425498</v>
      </c>
      <c r="K14">
        <v>0</v>
      </c>
      <c r="L14">
        <v>0.222827977554066</v>
      </c>
      <c r="M14">
        <v>0.119847717011151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9.0107727975050604</v>
      </c>
    </row>
    <row r="15" spans="1:20">
      <c r="A15" t="s">
        <v>30</v>
      </c>
      <c r="B15">
        <v>2022</v>
      </c>
      <c r="C15">
        <v>10</v>
      </c>
      <c r="D15" t="s">
        <v>1</v>
      </c>
      <c r="E15">
        <v>0</v>
      </c>
      <c r="F15">
        <v>59.771981600989797</v>
      </c>
      <c r="G15">
        <v>0</v>
      </c>
      <c r="H15">
        <v>6.6808597089434499E-3</v>
      </c>
      <c r="I15">
        <v>0</v>
      </c>
      <c r="J15">
        <v>6.1241213998648299E-2</v>
      </c>
      <c r="K15">
        <v>0</v>
      </c>
      <c r="L15">
        <v>0.65138382162198605</v>
      </c>
      <c r="M15">
        <v>0.31502109322031902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0.324392854756476</v>
      </c>
    </row>
    <row r="16" spans="1:20">
      <c r="A16" t="s">
        <v>30</v>
      </c>
      <c r="B16">
        <v>2022</v>
      </c>
      <c r="C16">
        <v>10</v>
      </c>
      <c r="D16" t="s">
        <v>2</v>
      </c>
      <c r="E16">
        <v>0</v>
      </c>
      <c r="F16">
        <v>0</v>
      </c>
      <c r="G16">
        <v>0</v>
      </c>
      <c r="H16">
        <v>0.473356108770423</v>
      </c>
      <c r="I16">
        <v>0</v>
      </c>
      <c r="J16">
        <v>231.94449329750699</v>
      </c>
      <c r="K16">
        <v>0</v>
      </c>
      <c r="L16">
        <v>0</v>
      </c>
      <c r="M16">
        <v>2.4377839601676698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0.66269855227859198</v>
      </c>
    </row>
    <row r="17" spans="1:20">
      <c r="A17" t="s">
        <v>30</v>
      </c>
      <c r="B17">
        <v>2022</v>
      </c>
      <c r="C17">
        <v>10</v>
      </c>
      <c r="D17" t="s">
        <v>3</v>
      </c>
      <c r="E17">
        <v>0</v>
      </c>
      <c r="F17">
        <v>0</v>
      </c>
      <c r="G17">
        <v>0</v>
      </c>
      <c r="H17">
        <v>0.224231403540989</v>
      </c>
      <c r="I17">
        <v>0</v>
      </c>
      <c r="J17">
        <v>109.87338773508399</v>
      </c>
      <c r="K17">
        <v>0</v>
      </c>
      <c r="L17">
        <v>0</v>
      </c>
      <c r="M17">
        <v>1.1211570177049399</v>
      </c>
      <c r="N17">
        <v>0.115636959939973</v>
      </c>
      <c r="O17">
        <v>4.6764250613578501E-2</v>
      </c>
      <c r="P17">
        <v>0</v>
      </c>
      <c r="Q17">
        <v>0</v>
      </c>
      <c r="R17">
        <v>0</v>
      </c>
      <c r="S17">
        <v>0</v>
      </c>
      <c r="T17">
        <v>0.313923964957385</v>
      </c>
    </row>
    <row r="18" spans="1:20">
      <c r="A18" t="s">
        <v>30</v>
      </c>
      <c r="B18">
        <v>2022</v>
      </c>
      <c r="C18">
        <v>10</v>
      </c>
      <c r="D18" t="s">
        <v>4</v>
      </c>
      <c r="E18">
        <v>0</v>
      </c>
      <c r="F18">
        <v>0</v>
      </c>
      <c r="G18">
        <v>0</v>
      </c>
      <c r="H18">
        <v>0.13346926080624999</v>
      </c>
      <c r="I18">
        <v>0</v>
      </c>
      <c r="J18">
        <v>63.264429622162702</v>
      </c>
      <c r="K18">
        <v>0</v>
      </c>
      <c r="L18">
        <v>0</v>
      </c>
      <c r="M18">
        <v>0.66734630403125195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0.66734630403125195</v>
      </c>
    </row>
    <row r="19" spans="1:20">
      <c r="A19" t="s">
        <v>30</v>
      </c>
      <c r="B19">
        <v>2022</v>
      </c>
      <c r="C19">
        <v>10</v>
      </c>
      <c r="D19" t="s">
        <v>5</v>
      </c>
      <c r="E19">
        <v>0</v>
      </c>
      <c r="F19">
        <v>0.467309999999999</v>
      </c>
      <c r="G19">
        <v>0</v>
      </c>
      <c r="H19">
        <v>0</v>
      </c>
      <c r="I19">
        <v>0</v>
      </c>
      <c r="J19">
        <v>0</v>
      </c>
      <c r="K19">
        <v>0</v>
      </c>
      <c r="L19">
        <v>5.1559869999999997</v>
      </c>
      <c r="M19">
        <v>1.2980833333333301E-2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</row>
    <row r="20" spans="1:20">
      <c r="A20" t="s">
        <v>30</v>
      </c>
      <c r="B20">
        <v>2022</v>
      </c>
      <c r="C20">
        <v>10</v>
      </c>
      <c r="D20" t="s">
        <v>24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3.7161087022900699E-3</v>
      </c>
      <c r="L20">
        <v>0</v>
      </c>
      <c r="M20">
        <v>0</v>
      </c>
      <c r="N20">
        <v>0</v>
      </c>
      <c r="O20">
        <v>0</v>
      </c>
      <c r="P20">
        <v>0</v>
      </c>
      <c r="Q20">
        <v>4.15217297297296E-3</v>
      </c>
      <c r="R20">
        <v>2.59022702702702E-3</v>
      </c>
      <c r="S20">
        <v>4.8159999999999902E-4</v>
      </c>
      <c r="T20">
        <v>0</v>
      </c>
    </row>
    <row r="21" spans="1:20">
      <c r="A21" t="s">
        <v>30</v>
      </c>
      <c r="B21">
        <v>2022</v>
      </c>
      <c r="C21">
        <v>10</v>
      </c>
      <c r="D21" t="s">
        <v>25</v>
      </c>
      <c r="E21">
        <v>5.3796081180248097E-3</v>
      </c>
      <c r="F21">
        <v>0</v>
      </c>
      <c r="G21">
        <v>9.5389512527678196E-4</v>
      </c>
      <c r="H21">
        <v>7.5867185958075503</v>
      </c>
      <c r="I21">
        <v>3.2396265843048599E-3</v>
      </c>
      <c r="J21">
        <v>0</v>
      </c>
      <c r="K21">
        <v>1.3227306323004E-2</v>
      </c>
      <c r="L21">
        <v>0</v>
      </c>
      <c r="M21">
        <v>0</v>
      </c>
      <c r="N21">
        <v>0</v>
      </c>
      <c r="O21">
        <v>0</v>
      </c>
      <c r="P21">
        <v>2.79656437445862E-2</v>
      </c>
      <c r="Q21">
        <v>1.8684736337143E-4</v>
      </c>
      <c r="R21">
        <v>0</v>
      </c>
      <c r="S21">
        <v>0</v>
      </c>
      <c r="T21">
        <v>0</v>
      </c>
    </row>
    <row r="22" spans="1:20">
      <c r="A22" t="s">
        <v>30</v>
      </c>
      <c r="B22">
        <v>2022</v>
      </c>
      <c r="C22">
        <v>10</v>
      </c>
      <c r="D22" t="s">
        <v>26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</row>
    <row r="23" spans="1:20">
      <c r="A23" t="s">
        <v>30</v>
      </c>
      <c r="B23">
        <v>2022</v>
      </c>
      <c r="C23">
        <v>10</v>
      </c>
      <c r="D23" t="s">
        <v>27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</row>
    <row r="24" spans="1:20">
      <c r="A24" t="s">
        <v>30</v>
      </c>
      <c r="B24">
        <v>2022</v>
      </c>
      <c r="C24">
        <v>10</v>
      </c>
      <c r="D24" t="s">
        <v>28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</row>
    <row r="25" spans="1:20">
      <c r="A25" t="s">
        <v>30</v>
      </c>
      <c r="B25">
        <v>2022</v>
      </c>
      <c r="C25">
        <v>10</v>
      </c>
      <c r="D25" t="s">
        <v>29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</row>
    <row r="26" spans="1:20">
      <c r="A26" s="1" t="s">
        <v>23</v>
      </c>
      <c r="B26">
        <v>2023</v>
      </c>
      <c r="C26">
        <v>15</v>
      </c>
      <c r="D26" t="s">
        <v>0</v>
      </c>
      <c r="E26">
        <v>0</v>
      </c>
      <c r="F26">
        <v>93.057934887431799</v>
      </c>
      <c r="G26">
        <v>0</v>
      </c>
      <c r="H26">
        <v>1.19847717011151</v>
      </c>
      <c r="I26">
        <v>0</v>
      </c>
      <c r="J26">
        <v>0.29651212949425498</v>
      </c>
      <c r="K26">
        <v>0</v>
      </c>
      <c r="L26">
        <v>0.222827977554066</v>
      </c>
      <c r="M26">
        <v>0.119847717011151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9.0107727975050604</v>
      </c>
    </row>
    <row r="27" spans="1:20">
      <c r="A27" s="1" t="s">
        <v>23</v>
      </c>
      <c r="B27">
        <v>2023</v>
      </c>
      <c r="C27">
        <v>15</v>
      </c>
      <c r="D27" t="s">
        <v>1</v>
      </c>
      <c r="E27">
        <v>0</v>
      </c>
      <c r="F27">
        <v>59.771981600989797</v>
      </c>
      <c r="G27">
        <v>0</v>
      </c>
      <c r="H27">
        <v>6.6808597089434499E-3</v>
      </c>
      <c r="I27">
        <v>0</v>
      </c>
      <c r="J27">
        <v>6.1241213998648299E-2</v>
      </c>
      <c r="K27">
        <v>0</v>
      </c>
      <c r="L27">
        <v>0.65138382162198605</v>
      </c>
      <c r="M27">
        <v>0.31502109322031902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0.324392854756476</v>
      </c>
    </row>
    <row r="28" spans="1:20">
      <c r="A28" s="1" t="s">
        <v>23</v>
      </c>
      <c r="B28">
        <v>2023</v>
      </c>
      <c r="C28">
        <v>15</v>
      </c>
      <c r="D28" t="s">
        <v>2</v>
      </c>
      <c r="E28">
        <v>0</v>
      </c>
      <c r="F28">
        <v>0</v>
      </c>
      <c r="G28">
        <v>0</v>
      </c>
      <c r="H28">
        <v>0.78597703423645204</v>
      </c>
      <c r="I28">
        <v>0</v>
      </c>
      <c r="J28">
        <v>385.12874677586098</v>
      </c>
      <c r="K28">
        <v>0</v>
      </c>
      <c r="L28">
        <v>0</v>
      </c>
      <c r="M28">
        <v>4.0477817263177203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1.1003678479310299</v>
      </c>
    </row>
    <row r="29" spans="1:20">
      <c r="A29" s="1" t="s">
        <v>23</v>
      </c>
      <c r="B29">
        <v>2023</v>
      </c>
      <c r="C29">
        <v>15</v>
      </c>
      <c r="D29" t="s">
        <v>3</v>
      </c>
      <c r="E29">
        <v>0</v>
      </c>
      <c r="F29">
        <v>0</v>
      </c>
      <c r="G29">
        <v>0</v>
      </c>
      <c r="H29">
        <v>0.37232166285045298</v>
      </c>
      <c r="I29">
        <v>0</v>
      </c>
      <c r="J29">
        <v>182.43761479672199</v>
      </c>
      <c r="K29">
        <v>0</v>
      </c>
      <c r="L29">
        <v>0</v>
      </c>
      <c r="M29">
        <v>1.8616083142522599</v>
      </c>
      <c r="N29">
        <v>0.19200765161313299</v>
      </c>
      <c r="O29">
        <v>7.7648996864170802E-2</v>
      </c>
      <c r="P29">
        <v>0</v>
      </c>
      <c r="Q29">
        <v>0</v>
      </c>
      <c r="R29">
        <v>0</v>
      </c>
      <c r="S29">
        <v>0</v>
      </c>
      <c r="T29">
        <v>0.52125032799063398</v>
      </c>
    </row>
    <row r="30" spans="1:20">
      <c r="A30" s="1" t="s">
        <v>23</v>
      </c>
      <c r="B30">
        <v>2023</v>
      </c>
      <c r="C30">
        <v>15</v>
      </c>
      <c r="D30" t="s">
        <v>4</v>
      </c>
      <c r="E30">
        <v>0</v>
      </c>
      <c r="F30">
        <v>0</v>
      </c>
      <c r="G30">
        <v>0</v>
      </c>
      <c r="H30">
        <v>0.22161702749062101</v>
      </c>
      <c r="I30">
        <v>0</v>
      </c>
      <c r="J30">
        <v>105.046471030554</v>
      </c>
      <c r="K30">
        <v>0</v>
      </c>
      <c r="L30">
        <v>0</v>
      </c>
      <c r="M30">
        <v>1.1080851374531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1.1080851374531</v>
      </c>
    </row>
    <row r="31" spans="1:20">
      <c r="A31" s="1" t="s">
        <v>23</v>
      </c>
      <c r="B31">
        <v>2023</v>
      </c>
      <c r="C31">
        <v>15</v>
      </c>
      <c r="D31" t="s">
        <v>5</v>
      </c>
      <c r="E31">
        <v>0</v>
      </c>
      <c r="F31">
        <v>0.467309999999999</v>
      </c>
      <c r="G31">
        <v>0</v>
      </c>
      <c r="H31">
        <v>0</v>
      </c>
      <c r="I31">
        <v>0</v>
      </c>
      <c r="J31">
        <v>0</v>
      </c>
      <c r="K31">
        <v>0</v>
      </c>
      <c r="L31">
        <v>5.1559869999999997</v>
      </c>
      <c r="M31">
        <v>1.2980833333333301E-2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</row>
    <row r="32" spans="1:20">
      <c r="A32" s="1" t="s">
        <v>23</v>
      </c>
      <c r="B32">
        <v>2023</v>
      </c>
      <c r="C32">
        <v>15</v>
      </c>
      <c r="D32" t="s">
        <v>24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3.7161087022900699E-3</v>
      </c>
      <c r="L32">
        <v>0</v>
      </c>
      <c r="M32">
        <v>0</v>
      </c>
      <c r="N32">
        <v>0</v>
      </c>
      <c r="O32">
        <v>0</v>
      </c>
      <c r="P32">
        <v>0</v>
      </c>
      <c r="Q32">
        <v>4.15217297297296E-3</v>
      </c>
      <c r="R32">
        <v>2.59022702702702E-3</v>
      </c>
      <c r="S32">
        <v>4.8159999999999902E-4</v>
      </c>
      <c r="T32">
        <v>0</v>
      </c>
    </row>
    <row r="33" spans="1:20">
      <c r="A33" s="1" t="s">
        <v>23</v>
      </c>
      <c r="B33">
        <v>2023</v>
      </c>
      <c r="C33">
        <v>15</v>
      </c>
      <c r="D33" t="s">
        <v>25</v>
      </c>
      <c r="E33">
        <v>8.5251508771929801E-3</v>
      </c>
      <c r="F33">
        <v>0</v>
      </c>
      <c r="G33">
        <v>1.5116528352234801E-3</v>
      </c>
      <c r="H33">
        <v>12.022794090773299</v>
      </c>
      <c r="I33">
        <v>5.1338879730712999E-3</v>
      </c>
      <c r="J33">
        <v>0</v>
      </c>
      <c r="K33">
        <v>2.09615235215053E-2</v>
      </c>
      <c r="L33">
        <v>0</v>
      </c>
      <c r="M33">
        <v>0</v>
      </c>
      <c r="N33">
        <v>0</v>
      </c>
      <c r="O33">
        <v>0</v>
      </c>
      <c r="P33">
        <v>4.4317602150537601E-2</v>
      </c>
      <c r="Q33">
        <v>2.9609999999999999E-4</v>
      </c>
      <c r="R33">
        <v>0</v>
      </c>
      <c r="S33">
        <v>0</v>
      </c>
      <c r="T33">
        <v>0</v>
      </c>
    </row>
    <row r="34" spans="1:20">
      <c r="A34" s="1" t="s">
        <v>23</v>
      </c>
      <c r="B34">
        <v>2023</v>
      </c>
      <c r="C34">
        <v>15</v>
      </c>
      <c r="D34" t="s">
        <v>26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</row>
    <row r="35" spans="1:20">
      <c r="A35" s="1" t="s">
        <v>23</v>
      </c>
      <c r="B35">
        <v>2023</v>
      </c>
      <c r="C35">
        <v>15</v>
      </c>
      <c r="D35" t="s">
        <v>27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</row>
    <row r="36" spans="1:20">
      <c r="A36" s="1" t="s">
        <v>23</v>
      </c>
      <c r="B36">
        <v>2023</v>
      </c>
      <c r="C36">
        <v>15</v>
      </c>
      <c r="D36" t="s">
        <v>28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</row>
    <row r="37" spans="1:20">
      <c r="A37" t="s">
        <v>23</v>
      </c>
      <c r="B37">
        <v>2023</v>
      </c>
      <c r="C37">
        <v>15</v>
      </c>
      <c r="D37" t="s">
        <v>29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</row>
    <row r="38" spans="1:20">
      <c r="A38" t="s">
        <v>30</v>
      </c>
      <c r="B38">
        <v>2023</v>
      </c>
      <c r="C38">
        <v>20</v>
      </c>
      <c r="D38" t="s">
        <v>0</v>
      </c>
      <c r="E38">
        <v>0</v>
      </c>
      <c r="F38">
        <v>93.057934887431799</v>
      </c>
      <c r="G38">
        <v>0</v>
      </c>
      <c r="H38">
        <v>1.19847717011151</v>
      </c>
      <c r="I38">
        <v>0</v>
      </c>
      <c r="J38">
        <v>0.29651212949425498</v>
      </c>
      <c r="K38">
        <v>0</v>
      </c>
      <c r="L38">
        <v>0.222827977554066</v>
      </c>
      <c r="M38">
        <v>0.119847717011151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9.0107727975050604</v>
      </c>
    </row>
    <row r="39" spans="1:20">
      <c r="A39" t="s">
        <v>30</v>
      </c>
      <c r="B39">
        <v>2023</v>
      </c>
      <c r="C39">
        <v>20</v>
      </c>
      <c r="D39" t="s">
        <v>1</v>
      </c>
      <c r="E39">
        <v>0</v>
      </c>
      <c r="F39">
        <v>59.771981600989797</v>
      </c>
      <c r="G39">
        <v>0</v>
      </c>
      <c r="H39">
        <v>6.6808597089434499E-3</v>
      </c>
      <c r="I39">
        <v>0</v>
      </c>
      <c r="J39">
        <v>6.1241213998648299E-2</v>
      </c>
      <c r="K39">
        <v>0</v>
      </c>
      <c r="L39">
        <v>0.65138382162198605</v>
      </c>
      <c r="M39">
        <v>0.31502109322031902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0.324392854756476</v>
      </c>
    </row>
    <row r="40" spans="1:20">
      <c r="A40" t="s">
        <v>30</v>
      </c>
      <c r="B40">
        <v>2023</v>
      </c>
      <c r="C40">
        <v>20</v>
      </c>
      <c r="D40" t="s">
        <v>2</v>
      </c>
      <c r="E40">
        <v>0</v>
      </c>
      <c r="F40">
        <v>0</v>
      </c>
      <c r="G40">
        <v>0</v>
      </c>
      <c r="H40">
        <v>0.473356108770423</v>
      </c>
      <c r="I40">
        <v>0</v>
      </c>
      <c r="J40">
        <v>231.94449329750699</v>
      </c>
      <c r="K40">
        <v>0</v>
      </c>
      <c r="L40">
        <v>0</v>
      </c>
      <c r="M40">
        <v>2.4377839601676698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0.66269855227859198</v>
      </c>
    </row>
    <row r="41" spans="1:20">
      <c r="A41" t="s">
        <v>30</v>
      </c>
      <c r="B41">
        <v>2023</v>
      </c>
      <c r="C41">
        <v>20</v>
      </c>
      <c r="D41" t="s">
        <v>3</v>
      </c>
      <c r="E41">
        <v>0</v>
      </c>
      <c r="F41">
        <v>0</v>
      </c>
      <c r="G41">
        <v>0</v>
      </c>
      <c r="H41">
        <v>0.224231403540989</v>
      </c>
      <c r="I41">
        <v>0</v>
      </c>
      <c r="J41">
        <v>109.87338773508399</v>
      </c>
      <c r="K41">
        <v>0</v>
      </c>
      <c r="L41">
        <v>0</v>
      </c>
      <c r="M41">
        <v>1.1211570177049399</v>
      </c>
      <c r="N41">
        <v>0.115636959939973</v>
      </c>
      <c r="O41">
        <v>4.6764250613578501E-2</v>
      </c>
      <c r="P41">
        <v>0</v>
      </c>
      <c r="Q41">
        <v>0</v>
      </c>
      <c r="R41">
        <v>0</v>
      </c>
      <c r="S41">
        <v>0</v>
      </c>
      <c r="T41">
        <v>0.313923964957385</v>
      </c>
    </row>
    <row r="42" spans="1:20">
      <c r="A42" t="s">
        <v>30</v>
      </c>
      <c r="B42">
        <v>2023</v>
      </c>
      <c r="C42">
        <v>20</v>
      </c>
      <c r="D42" t="s">
        <v>4</v>
      </c>
      <c r="E42">
        <v>0</v>
      </c>
      <c r="F42">
        <v>0</v>
      </c>
      <c r="G42">
        <v>0</v>
      </c>
      <c r="H42">
        <v>0.13346926080624999</v>
      </c>
      <c r="I42">
        <v>0</v>
      </c>
      <c r="J42">
        <v>63.264429622162702</v>
      </c>
      <c r="K42">
        <v>0</v>
      </c>
      <c r="L42">
        <v>0</v>
      </c>
      <c r="M42">
        <v>0.66734630403125195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0.66734630403125195</v>
      </c>
    </row>
    <row r="43" spans="1:20">
      <c r="A43" t="s">
        <v>30</v>
      </c>
      <c r="B43">
        <v>2023</v>
      </c>
      <c r="C43">
        <v>20</v>
      </c>
      <c r="D43" t="s">
        <v>5</v>
      </c>
      <c r="E43">
        <v>0</v>
      </c>
      <c r="F43">
        <v>0.467309999999999</v>
      </c>
      <c r="G43">
        <v>0</v>
      </c>
      <c r="H43">
        <v>0</v>
      </c>
      <c r="I43">
        <v>0</v>
      </c>
      <c r="J43">
        <v>0</v>
      </c>
      <c r="K43">
        <v>0</v>
      </c>
      <c r="L43">
        <v>5.1559869999999997</v>
      </c>
      <c r="M43">
        <v>1.2980833333333301E-2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</row>
    <row r="44" spans="1:20">
      <c r="A44" t="s">
        <v>30</v>
      </c>
      <c r="B44">
        <v>2023</v>
      </c>
      <c r="C44">
        <v>20</v>
      </c>
      <c r="D44" t="s">
        <v>24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3.7161087022900699E-3</v>
      </c>
      <c r="L44">
        <v>0</v>
      </c>
      <c r="M44">
        <v>0</v>
      </c>
      <c r="N44">
        <v>0</v>
      </c>
      <c r="O44">
        <v>0</v>
      </c>
      <c r="P44">
        <v>0</v>
      </c>
      <c r="Q44">
        <v>4.15217297297296E-3</v>
      </c>
      <c r="R44">
        <v>2.59022702702702E-3</v>
      </c>
      <c r="S44">
        <v>4.8159999999999902E-4</v>
      </c>
      <c r="T44">
        <v>0</v>
      </c>
    </row>
    <row r="45" spans="1:20">
      <c r="A45" t="s">
        <v>30</v>
      </c>
      <c r="B45">
        <v>2023</v>
      </c>
      <c r="C45">
        <v>20</v>
      </c>
      <c r="D45" t="s">
        <v>25</v>
      </c>
      <c r="E45">
        <v>5.3796081180248097E-3</v>
      </c>
      <c r="F45">
        <v>0</v>
      </c>
      <c r="G45">
        <v>9.5389512527678196E-4</v>
      </c>
      <c r="H45">
        <v>7.5867185958075503</v>
      </c>
      <c r="I45">
        <v>3.2396265843048599E-3</v>
      </c>
      <c r="J45">
        <v>0</v>
      </c>
      <c r="K45">
        <v>1.3227306323004E-2</v>
      </c>
      <c r="L45">
        <v>0</v>
      </c>
      <c r="M45">
        <v>0</v>
      </c>
      <c r="N45">
        <v>0</v>
      </c>
      <c r="O45">
        <v>0</v>
      </c>
      <c r="P45">
        <v>2.79656437445862E-2</v>
      </c>
      <c r="Q45">
        <v>1.8684736337143E-4</v>
      </c>
      <c r="R45">
        <v>0</v>
      </c>
      <c r="S45">
        <v>0</v>
      </c>
      <c r="T45">
        <v>0</v>
      </c>
    </row>
    <row r="46" spans="1:20">
      <c r="A46" t="s">
        <v>30</v>
      </c>
      <c r="B46">
        <v>2023</v>
      </c>
      <c r="C46">
        <v>20</v>
      </c>
      <c r="D46" t="s">
        <v>26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</row>
    <row r="47" spans="1:20">
      <c r="A47" t="s">
        <v>30</v>
      </c>
      <c r="B47">
        <v>2023</v>
      </c>
      <c r="C47">
        <v>20</v>
      </c>
      <c r="D47" t="s">
        <v>27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</row>
    <row r="48" spans="1:20">
      <c r="A48" t="s">
        <v>30</v>
      </c>
      <c r="B48">
        <v>2023</v>
      </c>
      <c r="C48">
        <v>20</v>
      </c>
      <c r="D48" t="s">
        <v>28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</row>
    <row r="49" spans="1:20">
      <c r="A49" t="s">
        <v>30</v>
      </c>
      <c r="B49">
        <v>2023</v>
      </c>
      <c r="C49">
        <v>20</v>
      </c>
      <c r="D49" t="s">
        <v>29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4D004-9C24-4A52-8DE1-BD8A92C57A56}">
  <dimension ref="A1:C32"/>
  <sheetViews>
    <sheetView workbookViewId="0">
      <selection activeCell="C5" sqref="C5"/>
    </sheetView>
  </sheetViews>
  <sheetFormatPr defaultRowHeight="14.5"/>
  <cols>
    <col min="1" max="1" width="16.6328125" bestFit="1" customWidth="1"/>
    <col min="2" max="2" width="27.6328125" bestFit="1" customWidth="1"/>
    <col min="3" max="3" width="22.36328125" bestFit="1" customWidth="1"/>
  </cols>
  <sheetData>
    <row r="1" spans="1:3">
      <c r="A1" s="5" t="s">
        <v>34</v>
      </c>
      <c r="B1" s="5" t="s">
        <v>35</v>
      </c>
      <c r="C1" s="5" t="s">
        <v>36</v>
      </c>
    </row>
    <row r="2" spans="1:3">
      <c r="A2" s="3" t="s">
        <v>37</v>
      </c>
      <c r="B2" s="3" t="s">
        <v>38</v>
      </c>
      <c r="C2" s="3" t="s">
        <v>39</v>
      </c>
    </row>
    <row r="3" spans="1:3">
      <c r="A3" s="3" t="s">
        <v>40</v>
      </c>
      <c r="B3" s="3" t="s">
        <v>37</v>
      </c>
      <c r="C3" s="3" t="s">
        <v>39</v>
      </c>
    </row>
    <row r="4" spans="1:3">
      <c r="A4" s="3" t="s">
        <v>38</v>
      </c>
      <c r="B4" s="3" t="s">
        <v>41</v>
      </c>
      <c r="C4" s="4" t="s">
        <v>39</v>
      </c>
    </row>
    <row r="5" spans="1:3" ht="26">
      <c r="A5" s="3" t="s">
        <v>38</v>
      </c>
      <c r="B5" s="3" t="s">
        <v>42</v>
      </c>
      <c r="C5" s="4" t="s">
        <v>43</v>
      </c>
    </row>
    <row r="6" spans="1:3">
      <c r="A6" s="3" t="s">
        <v>38</v>
      </c>
      <c r="B6" s="3" t="s">
        <v>44</v>
      </c>
      <c r="C6" s="3" t="s">
        <v>45</v>
      </c>
    </row>
    <row r="7" spans="1:3" ht="26">
      <c r="A7" s="3" t="s">
        <v>38</v>
      </c>
      <c r="B7" s="3" t="s">
        <v>46</v>
      </c>
      <c r="C7" s="4" t="s">
        <v>47</v>
      </c>
    </row>
    <row r="8" spans="1:3" ht="26">
      <c r="A8" s="3" t="s">
        <v>38</v>
      </c>
      <c r="B8" s="3" t="s">
        <v>48</v>
      </c>
      <c r="C8" s="4" t="s">
        <v>49</v>
      </c>
    </row>
    <row r="9" spans="1:3" ht="26">
      <c r="A9" s="3" t="s">
        <v>38</v>
      </c>
      <c r="B9" s="3" t="s">
        <v>50</v>
      </c>
      <c r="C9" s="4" t="s">
        <v>51</v>
      </c>
    </row>
    <row r="10" spans="1:3" ht="26">
      <c r="A10" s="3" t="s">
        <v>38</v>
      </c>
      <c r="B10" s="3" t="s">
        <v>52</v>
      </c>
      <c r="C10" s="4" t="s">
        <v>53</v>
      </c>
    </row>
    <row r="11" spans="1:3">
      <c r="A11" s="3" t="s">
        <v>38</v>
      </c>
      <c r="B11" s="3" t="s">
        <v>54</v>
      </c>
      <c r="C11" s="3" t="s">
        <v>55</v>
      </c>
    </row>
    <row r="12" spans="1:3">
      <c r="A12" s="3" t="s">
        <v>38</v>
      </c>
      <c r="B12" t="s">
        <v>41</v>
      </c>
      <c r="C12" s="3" t="s">
        <v>56</v>
      </c>
    </row>
    <row r="13" spans="1:3">
      <c r="A13" s="3" t="s">
        <v>44</v>
      </c>
      <c r="B13" s="3" t="s">
        <v>57</v>
      </c>
      <c r="C13" s="3" t="s">
        <v>58</v>
      </c>
    </row>
    <row r="14" spans="1:3">
      <c r="A14" s="3" t="s">
        <v>44</v>
      </c>
      <c r="B14" s="3" t="s">
        <v>59</v>
      </c>
      <c r="C14" s="3" t="s">
        <v>60</v>
      </c>
    </row>
    <row r="15" spans="1:3">
      <c r="A15" s="3" t="s">
        <v>44</v>
      </c>
      <c r="B15" s="3" t="s">
        <v>61</v>
      </c>
      <c r="C15" s="3" t="s">
        <v>62</v>
      </c>
    </row>
    <row r="16" spans="1:3" ht="26">
      <c r="A16" s="3" t="s">
        <v>42</v>
      </c>
      <c r="B16" s="3" t="s">
        <v>63</v>
      </c>
      <c r="C16" s="4" t="s">
        <v>64</v>
      </c>
    </row>
    <row r="17" spans="1:3">
      <c r="A17" s="3" t="s">
        <v>42</v>
      </c>
      <c r="B17" s="3" t="s">
        <v>65</v>
      </c>
      <c r="C17" s="4" t="s">
        <v>66</v>
      </c>
    </row>
    <row r="18" spans="1:3">
      <c r="A18" s="3" t="s">
        <v>42</v>
      </c>
      <c r="B18" s="3" t="s">
        <v>67</v>
      </c>
      <c r="C18" s="4" t="s">
        <v>68</v>
      </c>
    </row>
    <row r="19" spans="1:3" ht="26">
      <c r="A19" s="3" t="s">
        <v>48</v>
      </c>
      <c r="B19" s="3" t="s">
        <v>63</v>
      </c>
      <c r="C19" s="4" t="s">
        <v>64</v>
      </c>
    </row>
    <row r="20" spans="1:3" ht="26">
      <c r="A20" s="3" t="s">
        <v>48</v>
      </c>
      <c r="B20" s="3" t="s">
        <v>59</v>
      </c>
      <c r="C20" s="4" t="s">
        <v>60</v>
      </c>
    </row>
    <row r="21" spans="1:3">
      <c r="A21" s="3" t="s">
        <v>50</v>
      </c>
      <c r="B21" s="3" t="s">
        <v>69</v>
      </c>
      <c r="C21" s="3" t="s">
        <v>70</v>
      </c>
    </row>
    <row r="22" spans="1:3">
      <c r="A22" s="3" t="s">
        <v>50</v>
      </c>
      <c r="B22" s="3" t="s">
        <v>57</v>
      </c>
      <c r="C22" s="3" t="s">
        <v>58</v>
      </c>
    </row>
    <row r="23" spans="1:3">
      <c r="A23" s="3" t="s">
        <v>50</v>
      </c>
      <c r="B23" s="3" t="s">
        <v>59</v>
      </c>
      <c r="C23" s="3" t="s">
        <v>60</v>
      </c>
    </row>
    <row r="24" spans="1:3">
      <c r="A24" s="3" t="s">
        <v>50</v>
      </c>
      <c r="B24" s="3" t="s">
        <v>61</v>
      </c>
      <c r="C24" s="3" t="s">
        <v>62</v>
      </c>
    </row>
    <row r="25" spans="1:3">
      <c r="A25" s="3" t="s">
        <v>54</v>
      </c>
      <c r="B25" s="3" t="s">
        <v>71</v>
      </c>
      <c r="C25" s="3" t="s">
        <v>72</v>
      </c>
    </row>
    <row r="26" spans="1:3">
      <c r="A26" s="3" t="s">
        <v>54</v>
      </c>
      <c r="B26" s="3" t="s">
        <v>57</v>
      </c>
      <c r="C26" s="3" t="s">
        <v>58</v>
      </c>
    </row>
    <row r="27" spans="1:3" ht="26">
      <c r="A27" s="3" t="s">
        <v>46</v>
      </c>
      <c r="B27" s="3" t="s">
        <v>73</v>
      </c>
      <c r="C27" s="4" t="s">
        <v>74</v>
      </c>
    </row>
    <row r="28" spans="1:3" ht="26">
      <c r="A28" s="3" t="s">
        <v>46</v>
      </c>
      <c r="B28" s="3" t="s">
        <v>75</v>
      </c>
      <c r="C28" s="4" t="s">
        <v>76</v>
      </c>
    </row>
    <row r="29" spans="1:3">
      <c r="A29" s="3" t="s">
        <v>57</v>
      </c>
      <c r="B29" s="3" t="s">
        <v>77</v>
      </c>
      <c r="C29" s="3" t="s">
        <v>58</v>
      </c>
    </row>
    <row r="30" spans="1:3">
      <c r="A30" s="3" t="s">
        <v>57</v>
      </c>
      <c r="B30" s="3" t="s">
        <v>73</v>
      </c>
      <c r="C30" s="3" t="s">
        <v>78</v>
      </c>
    </row>
    <row r="31" spans="1:3">
      <c r="A31" s="3" t="s">
        <v>59</v>
      </c>
      <c r="B31" s="3" t="s">
        <v>79</v>
      </c>
      <c r="C31" s="3" t="s">
        <v>60</v>
      </c>
    </row>
    <row r="32" spans="1:3">
      <c r="A32" s="3" t="s">
        <v>59</v>
      </c>
      <c r="B32" s="3" t="s">
        <v>73</v>
      </c>
      <c r="C32" s="3" t="s">
        <v>80</v>
      </c>
    </row>
  </sheetData>
  <autoFilter ref="A1:C1" xr:uid="{B324D004-9C24-4A52-8DE1-BD8A92C57A56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192D8-FF63-418F-81D3-D478B2E2761A}">
  <dimension ref="A1:I24"/>
  <sheetViews>
    <sheetView workbookViewId="0">
      <selection activeCell="G1" sqref="G1:I1"/>
    </sheetView>
  </sheetViews>
  <sheetFormatPr defaultRowHeight="14.5"/>
  <cols>
    <col min="1" max="1" width="27.6328125" bestFit="1" customWidth="1"/>
    <col min="2" max="2" width="13.1796875" bestFit="1" customWidth="1"/>
    <col min="3" max="3" width="44.453125" bestFit="1" customWidth="1"/>
    <col min="4" max="4" width="18" bestFit="1" customWidth="1"/>
    <col min="5" max="5" width="3.90625" bestFit="1" customWidth="1"/>
    <col min="6" max="7" width="19.08984375" bestFit="1" customWidth="1"/>
    <col min="8" max="8" width="18.08984375" bestFit="1" customWidth="1"/>
    <col min="9" max="9" width="13.7265625" bestFit="1" customWidth="1"/>
  </cols>
  <sheetData>
    <row r="1" spans="1:9">
      <c r="A1" s="2" t="s">
        <v>81</v>
      </c>
      <c r="B1" s="2" t="s">
        <v>82</v>
      </c>
      <c r="C1" s="2" t="s">
        <v>83</v>
      </c>
      <c r="D1" s="2" t="s">
        <v>84</v>
      </c>
      <c r="E1" s="2" t="s">
        <v>85</v>
      </c>
      <c r="F1" s="2" t="s">
        <v>86</v>
      </c>
      <c r="G1" s="2" t="s">
        <v>87</v>
      </c>
      <c r="H1" s="2" t="s">
        <v>88</v>
      </c>
      <c r="I1" s="2" t="s">
        <v>89</v>
      </c>
    </row>
    <row r="2" spans="1:9">
      <c r="A2" t="s">
        <v>37</v>
      </c>
      <c r="B2" t="s">
        <v>90</v>
      </c>
      <c r="C2" t="s">
        <v>91</v>
      </c>
      <c r="D2" t="s">
        <v>92</v>
      </c>
      <c r="E2" t="s">
        <v>93</v>
      </c>
      <c r="F2" t="s">
        <v>94</v>
      </c>
      <c r="G2">
        <v>1</v>
      </c>
      <c r="H2">
        <v>1</v>
      </c>
      <c r="I2">
        <f>G2*H2/10</f>
        <v>0.1</v>
      </c>
    </row>
    <row r="3" spans="1:9">
      <c r="A3" t="s">
        <v>38</v>
      </c>
      <c r="B3" t="s">
        <v>95</v>
      </c>
      <c r="C3" t="s">
        <v>96</v>
      </c>
      <c r="D3" t="s">
        <v>97</v>
      </c>
      <c r="E3" t="s">
        <v>93</v>
      </c>
      <c r="F3" t="s">
        <v>98</v>
      </c>
      <c r="G3">
        <v>4</v>
      </c>
      <c r="H3">
        <v>2</v>
      </c>
      <c r="I3">
        <f>G3*H3/10</f>
        <v>0.8</v>
      </c>
    </row>
    <row r="4" spans="1:9">
      <c r="A4" t="s">
        <v>41</v>
      </c>
      <c r="B4" t="s">
        <v>99</v>
      </c>
      <c r="C4" t="s">
        <v>100</v>
      </c>
      <c r="E4" t="s">
        <v>93</v>
      </c>
      <c r="F4" t="s">
        <v>98</v>
      </c>
      <c r="I4">
        <v>20</v>
      </c>
    </row>
    <row r="5" spans="1:9">
      <c r="A5" t="s">
        <v>50</v>
      </c>
      <c r="B5" t="s">
        <v>101</v>
      </c>
      <c r="C5" t="s">
        <v>102</v>
      </c>
      <c r="D5" t="s">
        <v>103</v>
      </c>
      <c r="E5" t="s">
        <v>93</v>
      </c>
      <c r="F5" t="s">
        <v>104</v>
      </c>
      <c r="G5">
        <v>10</v>
      </c>
      <c r="H5">
        <v>4</v>
      </c>
      <c r="I5">
        <f>G5*H5/10</f>
        <v>4</v>
      </c>
    </row>
    <row r="6" spans="1:9">
      <c r="A6" t="s">
        <v>44</v>
      </c>
      <c r="B6" t="s">
        <v>105</v>
      </c>
      <c r="C6" t="s">
        <v>106</v>
      </c>
      <c r="D6" t="s">
        <v>107</v>
      </c>
      <c r="E6" t="s">
        <v>93</v>
      </c>
      <c r="F6" t="s">
        <v>104</v>
      </c>
      <c r="G6">
        <v>5</v>
      </c>
      <c r="H6">
        <v>2</v>
      </c>
      <c r="I6">
        <f>G6*H6/10</f>
        <v>1</v>
      </c>
    </row>
    <row r="7" spans="1:9">
      <c r="A7" t="s">
        <v>46</v>
      </c>
      <c r="B7" t="s">
        <v>108</v>
      </c>
      <c r="C7" t="s">
        <v>109</v>
      </c>
      <c r="D7" t="s">
        <v>110</v>
      </c>
      <c r="E7" t="s">
        <v>93</v>
      </c>
      <c r="F7" t="s">
        <v>111</v>
      </c>
      <c r="G7">
        <v>50</v>
      </c>
      <c r="H7">
        <v>20</v>
      </c>
      <c r="I7">
        <f>G7*H7/100</f>
        <v>10</v>
      </c>
    </row>
    <row r="8" spans="1:9">
      <c r="A8" t="s">
        <v>54</v>
      </c>
      <c r="B8" t="s">
        <v>112</v>
      </c>
      <c r="C8" t="s">
        <v>113</v>
      </c>
      <c r="D8" t="s">
        <v>103</v>
      </c>
      <c r="E8" t="s">
        <v>93</v>
      </c>
      <c r="F8" t="s">
        <v>104</v>
      </c>
      <c r="G8">
        <v>2</v>
      </c>
      <c r="H8">
        <v>6</v>
      </c>
      <c r="I8">
        <f>G8*H8/10</f>
        <v>1.2</v>
      </c>
    </row>
    <row r="9" spans="1:9">
      <c r="A9" t="s">
        <v>48</v>
      </c>
      <c r="B9" t="s">
        <v>114</v>
      </c>
      <c r="C9" t="s">
        <v>115</v>
      </c>
      <c r="D9" t="s">
        <v>103</v>
      </c>
      <c r="E9" t="s">
        <v>93</v>
      </c>
      <c r="F9" t="s">
        <v>104</v>
      </c>
      <c r="G9">
        <v>4</v>
      </c>
      <c r="H9">
        <v>3</v>
      </c>
      <c r="I9">
        <f>G9*H9/10</f>
        <v>1.2</v>
      </c>
    </row>
    <row r="10" spans="1:9">
      <c r="A10" t="s">
        <v>42</v>
      </c>
      <c r="B10" t="s">
        <v>116</v>
      </c>
      <c r="C10" t="s">
        <v>117</v>
      </c>
      <c r="D10" t="s">
        <v>103</v>
      </c>
      <c r="E10" t="s">
        <v>93</v>
      </c>
      <c r="F10" t="s">
        <v>104</v>
      </c>
      <c r="G10">
        <v>6</v>
      </c>
      <c r="H10">
        <v>42</v>
      </c>
      <c r="I10">
        <f>G10*H10/10</f>
        <v>25.2</v>
      </c>
    </row>
    <row r="11" spans="1:9">
      <c r="A11" t="s">
        <v>59</v>
      </c>
      <c r="B11" t="s">
        <v>118</v>
      </c>
      <c r="C11" t="s">
        <v>119</v>
      </c>
      <c r="D11" t="s">
        <v>110</v>
      </c>
      <c r="E11" t="s">
        <v>93</v>
      </c>
      <c r="F11" t="s">
        <v>111</v>
      </c>
      <c r="G11">
        <v>45</v>
      </c>
      <c r="H11">
        <v>42</v>
      </c>
      <c r="I11">
        <f>G11*H11/100</f>
        <v>18.899999999999999</v>
      </c>
    </row>
    <row r="12" spans="1:9">
      <c r="A12" t="s">
        <v>57</v>
      </c>
      <c r="B12" t="s">
        <v>120</v>
      </c>
      <c r="C12" t="s">
        <v>121</v>
      </c>
      <c r="D12" t="s">
        <v>110</v>
      </c>
      <c r="E12" t="s">
        <v>93</v>
      </c>
      <c r="F12" t="s">
        <v>111</v>
      </c>
      <c r="G12">
        <v>60</v>
      </c>
      <c r="H12">
        <v>33</v>
      </c>
      <c r="I12">
        <f>G12*H12/100</f>
        <v>19.8</v>
      </c>
    </row>
    <row r="13" spans="1:9">
      <c r="A13" s="3" t="s">
        <v>71</v>
      </c>
      <c r="B13" t="s">
        <v>122</v>
      </c>
      <c r="C13" t="s">
        <v>123</v>
      </c>
      <c r="D13" t="s">
        <v>94</v>
      </c>
      <c r="F13" t="s">
        <v>94</v>
      </c>
      <c r="I13">
        <v>-5</v>
      </c>
    </row>
    <row r="14" spans="1:9">
      <c r="A14" s="3" t="s">
        <v>75</v>
      </c>
      <c r="B14" t="s">
        <v>124</v>
      </c>
      <c r="C14" t="s">
        <v>125</v>
      </c>
      <c r="D14" t="s">
        <v>94</v>
      </c>
      <c r="F14" t="s">
        <v>94</v>
      </c>
      <c r="I14">
        <v>-2000</v>
      </c>
    </row>
    <row r="15" spans="1:9">
      <c r="A15" s="3" t="s">
        <v>67</v>
      </c>
      <c r="B15" t="s">
        <v>126</v>
      </c>
      <c r="C15" t="s">
        <v>127</v>
      </c>
      <c r="D15" t="s">
        <v>94</v>
      </c>
      <c r="F15" t="s">
        <v>94</v>
      </c>
      <c r="I15">
        <v>-20</v>
      </c>
    </row>
    <row r="16" spans="1:9">
      <c r="A16" s="3" t="s">
        <v>65</v>
      </c>
      <c r="B16" t="s">
        <v>128</v>
      </c>
      <c r="C16" t="s">
        <v>129</v>
      </c>
      <c r="D16" t="s">
        <v>94</v>
      </c>
      <c r="F16" t="s">
        <v>94</v>
      </c>
      <c r="I16">
        <v>-10</v>
      </c>
    </row>
    <row r="17" spans="1:9">
      <c r="A17" s="3" t="s">
        <v>79</v>
      </c>
      <c r="B17" t="s">
        <v>130</v>
      </c>
      <c r="C17" t="s">
        <v>131</v>
      </c>
      <c r="D17" t="s">
        <v>94</v>
      </c>
      <c r="F17" t="s">
        <v>94</v>
      </c>
      <c r="I17">
        <v>-5</v>
      </c>
    </row>
    <row r="18" spans="1:9">
      <c r="A18" s="3" t="s">
        <v>77</v>
      </c>
      <c r="B18" t="s">
        <v>132</v>
      </c>
      <c r="C18" t="s">
        <v>133</v>
      </c>
      <c r="D18" t="s">
        <v>94</v>
      </c>
      <c r="F18" t="s">
        <v>94</v>
      </c>
      <c r="I18">
        <v>-4</v>
      </c>
    </row>
    <row r="19" spans="1:9">
      <c r="A19" s="3" t="s">
        <v>61</v>
      </c>
      <c r="B19" t="s">
        <v>134</v>
      </c>
      <c r="C19" t="s">
        <v>135</v>
      </c>
      <c r="D19" t="s">
        <v>94</v>
      </c>
      <c r="F19" t="s">
        <v>94</v>
      </c>
      <c r="I19">
        <v>10</v>
      </c>
    </row>
    <row r="20" spans="1:9">
      <c r="A20" s="3" t="s">
        <v>69</v>
      </c>
      <c r="B20" t="s">
        <v>136</v>
      </c>
      <c r="C20" t="s">
        <v>137</v>
      </c>
      <c r="D20" t="s">
        <v>94</v>
      </c>
      <c r="F20" t="s">
        <v>94</v>
      </c>
      <c r="I20">
        <v>-2</v>
      </c>
    </row>
    <row r="21" spans="1:9">
      <c r="A21" s="3" t="s">
        <v>63</v>
      </c>
      <c r="B21" t="s">
        <v>138</v>
      </c>
      <c r="C21" t="s">
        <v>139</v>
      </c>
      <c r="D21" t="s">
        <v>94</v>
      </c>
      <c r="F21" t="s">
        <v>94</v>
      </c>
      <c r="I21">
        <v>-1</v>
      </c>
    </row>
    <row r="22" spans="1:9">
      <c r="A22" s="3" t="s">
        <v>73</v>
      </c>
      <c r="B22" t="s">
        <v>140</v>
      </c>
      <c r="C22" t="s">
        <v>141</v>
      </c>
      <c r="D22" t="s">
        <v>94</v>
      </c>
      <c r="F22" t="s">
        <v>94</v>
      </c>
      <c r="I22">
        <v>-10</v>
      </c>
    </row>
    <row r="23" spans="1:9">
      <c r="A23" s="3" t="s">
        <v>52</v>
      </c>
      <c r="B23" t="s">
        <v>138</v>
      </c>
      <c r="C23" t="s">
        <v>142</v>
      </c>
      <c r="D23" t="s">
        <v>94</v>
      </c>
      <c r="F23" t="s">
        <v>94</v>
      </c>
      <c r="I23">
        <v>3</v>
      </c>
    </row>
    <row r="24" spans="1:9">
      <c r="A24" t="s">
        <v>40</v>
      </c>
      <c r="B24" t="s">
        <v>143</v>
      </c>
      <c r="C24" t="s">
        <v>144</v>
      </c>
      <c r="E24" t="s">
        <v>93</v>
      </c>
      <c r="F24" t="s">
        <v>145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544F2-9346-431B-BBDE-7BEF15E4E06D}">
  <dimension ref="A1:F33"/>
  <sheetViews>
    <sheetView tabSelected="1" workbookViewId="0">
      <selection activeCell="E1" sqref="E1"/>
    </sheetView>
  </sheetViews>
  <sheetFormatPr defaultRowHeight="14.5"/>
  <cols>
    <col min="1" max="1" width="18.08984375" bestFit="1" customWidth="1"/>
    <col min="2" max="2" width="19.08984375" bestFit="1" customWidth="1"/>
    <col min="3" max="3" width="13.26953125" bestFit="1" customWidth="1"/>
    <col min="4" max="4" width="16" bestFit="1" customWidth="1"/>
    <col min="5" max="5" width="18" bestFit="1" customWidth="1"/>
    <col min="6" max="6" width="10.6328125" bestFit="1" customWidth="1"/>
  </cols>
  <sheetData>
    <row r="1" spans="1:6">
      <c r="A1" s="2" t="s">
        <v>146</v>
      </c>
      <c r="B1" s="2" t="s">
        <v>86</v>
      </c>
      <c r="C1" s="2" t="s">
        <v>147</v>
      </c>
      <c r="D1" s="2" t="s">
        <v>148</v>
      </c>
      <c r="E1" s="2" t="s">
        <v>149</v>
      </c>
      <c r="F1" s="2" t="s">
        <v>150</v>
      </c>
    </row>
    <row r="2" spans="1:6">
      <c r="A2" t="s">
        <v>50</v>
      </c>
      <c r="B2" t="s">
        <v>104</v>
      </c>
      <c r="C2" t="s">
        <v>45</v>
      </c>
      <c r="D2" s="3" t="s">
        <v>70</v>
      </c>
      <c r="E2" s="6"/>
    </row>
    <row r="3" spans="1:6" ht="26">
      <c r="A3" t="s">
        <v>48</v>
      </c>
      <c r="B3" t="s">
        <v>104</v>
      </c>
      <c r="C3" s="4" t="s">
        <v>49</v>
      </c>
      <c r="D3" s="3" t="s">
        <v>64</v>
      </c>
      <c r="E3" s="6"/>
    </row>
    <row r="4" spans="1:6" ht="26">
      <c r="A4" t="s">
        <v>42</v>
      </c>
      <c r="B4" t="s">
        <v>104</v>
      </c>
      <c r="C4" s="4" t="s">
        <v>43</v>
      </c>
      <c r="D4" s="3" t="s">
        <v>64</v>
      </c>
      <c r="E4" s="6"/>
    </row>
    <row r="5" spans="1:6" ht="26">
      <c r="A5" t="s">
        <v>54</v>
      </c>
      <c r="B5" t="s">
        <v>104</v>
      </c>
      <c r="C5" s="3" t="s">
        <v>55</v>
      </c>
      <c r="D5" s="4" t="s">
        <v>72</v>
      </c>
      <c r="E5" s="6"/>
    </row>
    <row r="6" spans="1:6">
      <c r="A6" t="s">
        <v>38</v>
      </c>
      <c r="B6" t="s">
        <v>98</v>
      </c>
      <c r="C6" t="s">
        <v>39</v>
      </c>
      <c r="D6" s="3" t="s">
        <v>56</v>
      </c>
      <c r="E6" s="6"/>
    </row>
    <row r="7" spans="1:6">
      <c r="A7" t="s">
        <v>37</v>
      </c>
      <c r="B7" t="s">
        <v>151</v>
      </c>
      <c r="C7" t="s">
        <v>39</v>
      </c>
      <c r="D7" t="s">
        <v>39</v>
      </c>
      <c r="E7" s="6"/>
    </row>
    <row r="8" spans="1:6">
      <c r="A8" t="s">
        <v>38</v>
      </c>
      <c r="B8" t="s">
        <v>98</v>
      </c>
      <c r="C8" t="s">
        <v>39</v>
      </c>
      <c r="D8" s="3" t="s">
        <v>39</v>
      </c>
      <c r="E8" s="6"/>
    </row>
    <row r="9" spans="1:6" ht="26">
      <c r="A9" t="s">
        <v>38</v>
      </c>
      <c r="B9" t="s">
        <v>98</v>
      </c>
      <c r="C9" t="s">
        <v>39</v>
      </c>
      <c r="D9" s="4" t="s">
        <v>43</v>
      </c>
      <c r="E9" s="6"/>
    </row>
    <row r="10" spans="1:6">
      <c r="A10" t="s">
        <v>38</v>
      </c>
      <c r="B10" t="s">
        <v>98</v>
      </c>
      <c r="C10" t="s">
        <v>39</v>
      </c>
      <c r="D10" t="s">
        <v>45</v>
      </c>
      <c r="E10" s="6"/>
    </row>
    <row r="11" spans="1:6" ht="26">
      <c r="A11" t="s">
        <v>38</v>
      </c>
      <c r="B11" t="s">
        <v>98</v>
      </c>
      <c r="C11" t="s">
        <v>39</v>
      </c>
      <c r="D11" s="4" t="s">
        <v>47</v>
      </c>
      <c r="E11" s="6"/>
    </row>
    <row r="12" spans="1:6" ht="26">
      <c r="A12" t="s">
        <v>38</v>
      </c>
      <c r="B12" t="s">
        <v>98</v>
      </c>
      <c r="C12" t="s">
        <v>39</v>
      </c>
      <c r="D12" s="4" t="s">
        <v>49</v>
      </c>
      <c r="E12" s="6"/>
    </row>
    <row r="13" spans="1:6" ht="38.5">
      <c r="A13" t="s">
        <v>38</v>
      </c>
      <c r="B13" t="s">
        <v>98</v>
      </c>
      <c r="C13" t="s">
        <v>39</v>
      </c>
      <c r="D13" s="4" t="s">
        <v>51</v>
      </c>
      <c r="E13" s="6"/>
    </row>
    <row r="14" spans="1:6">
      <c r="A14" t="s">
        <v>50</v>
      </c>
      <c r="B14" t="s">
        <v>104</v>
      </c>
      <c r="C14" t="s">
        <v>45</v>
      </c>
      <c r="D14" t="s">
        <v>58</v>
      </c>
      <c r="E14" s="6"/>
    </row>
    <row r="15" spans="1:6" ht="38.5">
      <c r="A15" t="s">
        <v>44</v>
      </c>
      <c r="B15" t="s">
        <v>104</v>
      </c>
      <c r="C15" s="4" t="s">
        <v>51</v>
      </c>
      <c r="D15" t="s">
        <v>58</v>
      </c>
      <c r="E15" s="6"/>
    </row>
    <row r="16" spans="1:6" ht="26">
      <c r="A16" t="s">
        <v>46</v>
      </c>
      <c r="B16" t="s">
        <v>111</v>
      </c>
      <c r="C16" s="4" t="s">
        <v>47</v>
      </c>
      <c r="D16" t="s">
        <v>58</v>
      </c>
      <c r="E16" s="6"/>
    </row>
    <row r="17" spans="1:5">
      <c r="A17" t="s">
        <v>54</v>
      </c>
      <c r="B17" t="s">
        <v>104</v>
      </c>
      <c r="C17" s="3" t="s">
        <v>55</v>
      </c>
      <c r="D17" t="s">
        <v>58</v>
      </c>
      <c r="E17" s="6"/>
    </row>
    <row r="18" spans="1:5" ht="26">
      <c r="A18" t="s">
        <v>57</v>
      </c>
      <c r="B18" t="s">
        <v>111</v>
      </c>
      <c r="C18" t="s">
        <v>58</v>
      </c>
      <c r="D18" s="4" t="s">
        <v>58</v>
      </c>
      <c r="E18" s="6"/>
    </row>
    <row r="19" spans="1:5">
      <c r="A19" t="s">
        <v>38</v>
      </c>
      <c r="B19" t="s">
        <v>98</v>
      </c>
      <c r="C19" t="s">
        <v>39</v>
      </c>
      <c r="D19" s="3" t="s">
        <v>53</v>
      </c>
      <c r="E19" s="6"/>
    </row>
    <row r="20" spans="1:5">
      <c r="A20" t="s">
        <v>50</v>
      </c>
      <c r="B20" t="s">
        <v>104</v>
      </c>
      <c r="C20" t="s">
        <v>45</v>
      </c>
      <c r="D20" t="s">
        <v>60</v>
      </c>
      <c r="E20" s="6"/>
    </row>
    <row r="21" spans="1:5" ht="38.5">
      <c r="A21" t="s">
        <v>44</v>
      </c>
      <c r="B21" t="s">
        <v>104</v>
      </c>
      <c r="C21" s="4" t="s">
        <v>51</v>
      </c>
      <c r="D21" t="s">
        <v>60</v>
      </c>
      <c r="E21" s="6"/>
    </row>
    <row r="22" spans="1:5" ht="26">
      <c r="A22" t="s">
        <v>48</v>
      </c>
      <c r="B22" t="s">
        <v>104</v>
      </c>
      <c r="C22" s="4" t="s">
        <v>49</v>
      </c>
      <c r="D22" t="s">
        <v>60</v>
      </c>
      <c r="E22" s="6"/>
    </row>
    <row r="23" spans="1:5" ht="26">
      <c r="A23" t="s">
        <v>59</v>
      </c>
      <c r="B23" t="s">
        <v>111</v>
      </c>
      <c r="C23" t="s">
        <v>60</v>
      </c>
      <c r="D23" s="4" t="s">
        <v>60</v>
      </c>
      <c r="E23" s="6"/>
    </row>
    <row r="24" spans="1:5" ht="26">
      <c r="A24" t="s">
        <v>46</v>
      </c>
      <c r="B24" t="s">
        <v>111</v>
      </c>
      <c r="C24" s="4" t="s">
        <v>47</v>
      </c>
      <c r="D24" s="4" t="s">
        <v>76</v>
      </c>
      <c r="E24" s="6"/>
    </row>
    <row r="25" spans="1:5">
      <c r="A25" t="s">
        <v>57</v>
      </c>
      <c r="B25" t="s">
        <v>111</v>
      </c>
      <c r="C25" t="s">
        <v>58</v>
      </c>
      <c r="D25" s="3" t="s">
        <v>78</v>
      </c>
      <c r="E25" s="6"/>
    </row>
    <row r="26" spans="1:5">
      <c r="A26" t="s">
        <v>59</v>
      </c>
      <c r="B26" t="s">
        <v>111</v>
      </c>
      <c r="C26" t="s">
        <v>60</v>
      </c>
      <c r="D26" s="3" t="s">
        <v>80</v>
      </c>
      <c r="E26" s="6"/>
    </row>
    <row r="27" spans="1:5">
      <c r="A27" t="s">
        <v>38</v>
      </c>
      <c r="B27" t="s">
        <v>98</v>
      </c>
      <c r="C27" t="s">
        <v>39</v>
      </c>
      <c r="D27" s="3" t="s">
        <v>55</v>
      </c>
      <c r="E27" s="6"/>
    </row>
    <row r="28" spans="1:5" ht="38.5">
      <c r="A28" t="s">
        <v>50</v>
      </c>
      <c r="B28" t="s">
        <v>104</v>
      </c>
      <c r="C28" t="s">
        <v>45</v>
      </c>
      <c r="D28" s="4" t="s">
        <v>62</v>
      </c>
      <c r="E28" s="6"/>
    </row>
    <row r="29" spans="1:5" ht="38.5">
      <c r="A29" t="s">
        <v>44</v>
      </c>
      <c r="B29" t="s">
        <v>104</v>
      </c>
      <c r="C29" s="4" t="s">
        <v>51</v>
      </c>
      <c r="D29" s="4" t="s">
        <v>62</v>
      </c>
      <c r="E29" s="6"/>
    </row>
    <row r="30" spans="1:5" ht="26">
      <c r="A30" t="s">
        <v>46</v>
      </c>
      <c r="B30" t="s">
        <v>111</v>
      </c>
      <c r="C30" s="4" t="s">
        <v>47</v>
      </c>
      <c r="D30" s="3" t="s">
        <v>74</v>
      </c>
      <c r="E30" s="6"/>
    </row>
    <row r="31" spans="1:5" ht="26">
      <c r="A31" t="s">
        <v>42</v>
      </c>
      <c r="B31" t="s">
        <v>104</v>
      </c>
      <c r="C31" s="4" t="s">
        <v>43</v>
      </c>
      <c r="D31" s="4" t="s">
        <v>66</v>
      </c>
      <c r="E31" s="6"/>
    </row>
    <row r="32" spans="1:5" ht="26">
      <c r="A32" t="s">
        <v>42</v>
      </c>
      <c r="B32" t="s">
        <v>104</v>
      </c>
      <c r="C32" s="4" t="s">
        <v>43</v>
      </c>
      <c r="D32" s="4" t="s">
        <v>68</v>
      </c>
      <c r="E32" s="6"/>
    </row>
    <row r="33" spans="1:5">
      <c r="A33" t="s">
        <v>40</v>
      </c>
      <c r="B33" t="s">
        <v>151</v>
      </c>
      <c r="C33" t="s">
        <v>152</v>
      </c>
      <c r="D33" t="s">
        <v>39</v>
      </c>
      <c r="E33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ELV_ICE_composition</vt:lpstr>
      <vt:lpstr>ELV_ICE_flows</vt:lpstr>
      <vt:lpstr>ELV_ICE_processes</vt:lpstr>
      <vt:lpstr>ELV_ICE_TCs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Deepjyoti Das</dc:creator>
  <cp:lastModifiedBy>Deepjyoti Das</cp:lastModifiedBy>
  <dcterms:created xsi:type="dcterms:W3CDTF">2015-06-05T18:17:20Z</dcterms:created>
  <dcterms:modified xsi:type="dcterms:W3CDTF">2023-08-11T10:01:27Z</dcterms:modified>
</cp:coreProperties>
</file>