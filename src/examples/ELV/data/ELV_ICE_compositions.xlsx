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6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19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ELV_ICE-prd" sheetId="1" state="visible" r:id="rId2"/>
    <sheet name="ELV_ICE_body-cpt" sheetId="2" state="visible" r:id="rId3"/>
    <sheet name="ELV_ICE_engtrans-cpt" sheetId="3" state="visible" r:id="rId4"/>
    <sheet name="ELV_ICE_catconv-cpt" sheetId="4" state="visible" r:id="rId5"/>
    <sheet name="ELV_ICE_tyres-cpt" sheetId="5" state="visible" r:id="rId6"/>
    <sheet name="ELV_ICE_elec-cpt" sheetId="6" state="visible" r:id="rId7"/>
    <sheet name="ELV_ICE_liquids-mat" sheetId="7" state="visible" r:id="rId8"/>
    <sheet name="ELV_ICE_batt-cpt" sheetId="8" state="visible" r:id="rId9"/>
    <sheet name="ELV_ICE_nonferrous-mat" sheetId="9" state="visible" r:id="rId10"/>
    <sheet name="ELV_ICE_slag_nfe-mat" sheetId="10" state="visible" r:id="rId11"/>
    <sheet name="ELV_ICE_ferrous-mat" sheetId="11" state="visible" r:id="rId12"/>
    <sheet name="ELV_ICE_slag_fe-mat" sheetId="12" state="visible" r:id="rId13"/>
    <sheet name="ELV_ICE_rubber-mat" sheetId="13" state="visible" r:id="rId14"/>
    <sheet name="ELV_ICE_ree-mat" sheetId="14" state="visible" r:id="rId15"/>
    <sheet name="ELV_ICE_slag_ree-mat" sheetId="15" state="visible" r:id="rId16"/>
    <sheet name="ELV_ICE_glass-mat" sheetId="16" state="visible" r:id="rId17"/>
    <sheet name="ELV_ICE_waste_shredder-mat" sheetId="17" state="visible" r:id="rId18"/>
    <sheet name="ELV_ICE_plastic-mat" sheetId="18" state="visible" r:id="rId19"/>
    <sheet name="ELV_ICE_H2SO4-cmp" sheetId="19" state="visible" r:id="rId20"/>
    <sheet name="ELV_ICE_Pb-elm" sheetId="20" state="visible" r:id="rId21"/>
  </sheets>
  <definedNames>
    <definedName function="false" hidden="true" localSheetId="7" name="_xlnm._FilterDatabase" vbProcedure="false">'ELV_ICE_batt-cpt'!$A$1:$E$3</definedName>
    <definedName function="false" hidden="true" localSheetId="1" name="_xlnm._FilterDatabase" vbProcedure="false">'ELV_ICE_body-cpt'!$A$1:$E$5</definedName>
    <definedName function="false" hidden="true" localSheetId="3" name="_xlnm._FilterDatabase" vbProcedure="false">'ELV_ICE_catconv-cpt'!$A$1:$E$2</definedName>
    <definedName function="false" hidden="true" localSheetId="5" name="_xlnm._FilterDatabase" vbProcedure="false">'ELV_ICE_elec-cpt'!$A$1:$E$4</definedName>
    <definedName function="false" hidden="true" localSheetId="2" name="_xlnm._FilterDatabase" vbProcedure="false">'ELV_ICE_engtrans-cpt'!$A$1:$E$4</definedName>
    <definedName function="false" hidden="true" localSheetId="10" name="_xlnm._FilterDatabase" vbProcedure="false">'ELV_ICE_ferrous-mat'!$A$1:$E$4</definedName>
    <definedName function="false" hidden="true" localSheetId="15" name="_xlnm._FilterDatabase" vbProcedure="false">'ELV_ICE_glass-mat'!$A$1:$E$2</definedName>
    <definedName function="false" hidden="true" localSheetId="18" name="_xlnm._FilterDatabase" vbProcedure="false">'ELV_ICE_H2SO4-cmp'!$A$1:$E$2</definedName>
    <definedName function="false" hidden="true" localSheetId="6" name="_xlnm._FilterDatabase" vbProcedure="false">'ELV_ICE_liquids-mat'!$A$1:$E$2</definedName>
    <definedName function="false" hidden="true" localSheetId="8" name="_xlnm._FilterDatabase" vbProcedure="false">'ELV_ICE_nonferrous-mat'!$A$1:$E$4</definedName>
    <definedName function="false" hidden="true" localSheetId="19" name="_xlnm._FilterDatabase" vbProcedure="false">'ELV_ICE_Pb-elm'!$A$1:$E$2</definedName>
    <definedName function="false" hidden="true" localSheetId="17" name="_xlnm._FilterDatabase" vbProcedure="false">'ELV_ICE_plastic-mat'!$A$1:$E$2</definedName>
    <definedName function="false" hidden="true" localSheetId="13" name="_xlnm._FilterDatabase" vbProcedure="false">'ELV_ICE_ree-mat'!$A$1:$E$2</definedName>
    <definedName function="false" hidden="true" localSheetId="12" name="_xlnm._FilterDatabase" vbProcedure="false">'ELV_ICE_rubber-mat'!$A$1:$E$2</definedName>
    <definedName function="false" hidden="true" localSheetId="11" name="_xlnm._FilterDatabase" vbProcedure="false">'ELV_ICE_slag_fe-mat'!$A$1:$E$4</definedName>
    <definedName function="false" hidden="true" localSheetId="9" name="_xlnm._FilterDatabase" vbProcedure="false">'ELV_ICE_slag_nfe-mat'!$A$1:$E$4</definedName>
    <definedName function="false" hidden="true" localSheetId="14" name="_xlnm._FilterDatabase" vbProcedure="false">'ELV_ICE_slag_ree-mat'!$A$1:$E$2</definedName>
    <definedName function="false" hidden="true" localSheetId="4" name="_xlnm._FilterDatabase" vbProcedure="false">'ELV_ICE_tyres-cpt'!$A$1:$E$3</definedName>
    <definedName function="false" hidden="true" localSheetId="16" name="_xlnm._FilterDatabase" vbProcedure="false">'ELV_ICE_waste_shredder-mat'!$A$1:$E$2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<sst xmlns="http://schemas.openxmlformats.org/spreadsheetml/2006/main" count="268" uniqueCount="42">
  <si>
    <t xml:space="preserve">fraction</t>
  </si>
  <si>
    <t xml:space="preserve">matter</t>
  </si>
  <si>
    <t xml:space="preserve">mass</t>
  </si>
  <si>
    <t xml:space="preserve">mass_fraction</t>
  </si>
  <si>
    <t xml:space="preserve">uncertainty</t>
  </si>
  <si>
    <t xml:space="preserve">ICE_body</t>
  </si>
  <si>
    <t xml:space="preserve">component</t>
  </si>
  <si>
    <t xml:space="preserve">ICE_engtrans</t>
  </si>
  <si>
    <t xml:space="preserve">ICE_catconverter</t>
  </si>
  <si>
    <t xml:space="preserve">ICE_tyres</t>
  </si>
  <si>
    <t xml:space="preserve">ICE_elec</t>
  </si>
  <si>
    <t xml:space="preserve">ICE_batt</t>
  </si>
  <si>
    <t xml:space="preserve">ICE_liquids</t>
  </si>
  <si>
    <t xml:space="preserve">total</t>
  </si>
  <si>
    <t xml:space="preserve">ferrous</t>
  </si>
  <si>
    <t xml:space="preserve">material</t>
  </si>
  <si>
    <t xml:space="preserve">nonferrous</t>
  </si>
  <si>
    <t xml:space="preserve">glass</t>
  </si>
  <si>
    <t xml:space="preserve">rest</t>
  </si>
  <si>
    <t xml:space="preserve">ree</t>
  </si>
  <si>
    <t xml:space="preserve">rubber</t>
  </si>
  <si>
    <t xml:space="preserve">Cu</t>
  </si>
  <si>
    <t xml:space="preserve">element</t>
  </si>
  <si>
    <t xml:space="preserve">Al</t>
  </si>
  <si>
    <t xml:space="preserve">Au</t>
  </si>
  <si>
    <t xml:space="preserve">Ag</t>
  </si>
  <si>
    <t xml:space="preserve">Sn</t>
  </si>
  <si>
    <t xml:space="preserve">Pb</t>
  </si>
  <si>
    <t xml:space="preserve">Ni</t>
  </si>
  <si>
    <t xml:space="preserve">Pd</t>
  </si>
  <si>
    <t xml:space="preserve">plastic</t>
  </si>
  <si>
    <t xml:space="preserve">waste_oil</t>
  </si>
  <si>
    <t xml:space="preserve">H2SO4</t>
  </si>
  <si>
    <t xml:space="preserve">compound</t>
  </si>
  <si>
    <t xml:space="preserve">brass</t>
  </si>
  <si>
    <t xml:space="preserve">Zn</t>
  </si>
  <si>
    <t xml:space="preserve">Mg</t>
  </si>
  <si>
    <t xml:space="preserve">Fe</t>
  </si>
  <si>
    <t xml:space="preserve">Mn</t>
  </si>
  <si>
    <t xml:space="preserve">Pt</t>
  </si>
  <si>
    <t xml:space="preserve">Rh</t>
  </si>
  <si>
    <t xml:space="preserve">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</si>
</sst>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eX Gyre Pagella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47"/>
    <col collapsed="false" customWidth="true" hidden="false" outlineLevel="0" max="4" min="2" style="1" width="16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customFormat="false" ht="12.8" hidden="false" customHeight="false" outlineLevel="0" collapsed="false">
      <c r="A2" s="3" t="s">
        <v>5</v>
      </c>
      <c r="B2" s="3" t="s">
        <v>6</v>
      </c>
      <c r="C2" s="3" t="n">
        <v>770</v>
      </c>
      <c r="D2" s="2" t="n">
        <v>0.55</v>
      </c>
      <c r="E2" s="2" t="n">
        <v>0.1</v>
      </c>
      <c r="F2" s="2"/>
      <c r="G2" s="2"/>
      <c r="H2" s="2"/>
    </row>
    <row r="3" customFormat="false" ht="12.8" hidden="false" customHeight="false" outlineLevel="0" collapsed="false">
      <c r="A3" s="3" t="s">
        <v>7</v>
      </c>
      <c r="B3" s="3" t="s">
        <v>6</v>
      </c>
      <c r="C3" s="3" t="n">
        <v>420</v>
      </c>
      <c r="D3" s="2" t="n">
        <v>0.3</v>
      </c>
      <c r="E3" s="2" t="n">
        <v>0.1</v>
      </c>
      <c r="F3" s="2"/>
      <c r="G3" s="2"/>
      <c r="H3" s="2"/>
    </row>
    <row r="4" customFormat="false" ht="12.8" hidden="false" customHeight="false" outlineLevel="0" collapsed="false">
      <c r="A4" s="3" t="s">
        <v>8</v>
      </c>
      <c r="B4" s="3" t="s">
        <v>6</v>
      </c>
      <c r="C4" s="3" t="n">
        <v>70</v>
      </c>
      <c r="D4" s="2" t="n">
        <v>0.05</v>
      </c>
      <c r="E4" s="2" t="n">
        <v>0.1</v>
      </c>
      <c r="F4" s="2"/>
      <c r="G4" s="2"/>
      <c r="H4" s="2"/>
    </row>
    <row r="5" customFormat="false" ht="12.8" hidden="false" customHeight="false" outlineLevel="0" collapsed="false">
      <c r="A5" s="2" t="s">
        <v>9</v>
      </c>
      <c r="B5" s="3" t="s">
        <v>6</v>
      </c>
      <c r="C5" s="3" t="n">
        <v>56</v>
      </c>
      <c r="D5" s="2" t="n">
        <v>0.04</v>
      </c>
      <c r="E5" s="2" t="n">
        <v>0.1</v>
      </c>
      <c r="F5" s="2"/>
      <c r="G5" s="2"/>
      <c r="H5" s="2"/>
    </row>
    <row r="6" customFormat="false" ht="12.8" hidden="false" customHeight="false" outlineLevel="0" collapsed="false">
      <c r="A6" s="3" t="s">
        <v>10</v>
      </c>
      <c r="B6" s="3" t="s">
        <v>6</v>
      </c>
      <c r="C6" s="3" t="n">
        <v>28</v>
      </c>
      <c r="D6" s="2" t="n">
        <v>0.02</v>
      </c>
      <c r="E6" s="2" t="n">
        <v>0.1</v>
      </c>
      <c r="F6" s="2"/>
      <c r="G6" s="2"/>
      <c r="H6" s="2"/>
    </row>
    <row r="7" customFormat="false" ht="12.8" hidden="false" customHeight="false" outlineLevel="0" collapsed="false">
      <c r="A7" s="3" t="s">
        <v>11</v>
      </c>
      <c r="B7" s="3" t="s">
        <v>6</v>
      </c>
      <c r="C7" s="3" t="n">
        <v>28</v>
      </c>
      <c r="D7" s="2" t="n">
        <v>0.02</v>
      </c>
      <c r="E7" s="2" t="n">
        <v>0.1</v>
      </c>
      <c r="F7" s="2"/>
      <c r="G7" s="2"/>
      <c r="H7" s="2"/>
    </row>
    <row r="8" customFormat="false" ht="12.8" hidden="false" customHeight="false" outlineLevel="0" collapsed="false">
      <c r="A8" s="2" t="s">
        <v>12</v>
      </c>
      <c r="B8" s="3" t="s">
        <v>6</v>
      </c>
      <c r="C8" s="3" t="n">
        <v>28</v>
      </c>
      <c r="D8" s="2" t="n">
        <v>0.02</v>
      </c>
      <c r="E8" s="2" t="n">
        <v>0.1</v>
      </c>
      <c r="F8" s="2"/>
      <c r="G8" s="2"/>
      <c r="H8" s="2"/>
    </row>
    <row r="9" customFormat="false" ht="12.8" hidden="false" customHeight="false" outlineLevel="0" collapsed="false">
      <c r="A9" s="2" t="s">
        <v>13</v>
      </c>
      <c r="B9" s="2"/>
      <c r="C9" s="3" t="n">
        <f aca="false">SUM(C2:C8)</f>
        <v>1400</v>
      </c>
      <c r="D9" s="3" t="n">
        <f aca="false">SUM(D2:D8)</f>
        <v>1</v>
      </c>
      <c r="E9" s="2"/>
      <c r="F9" s="2"/>
      <c r="G9" s="2"/>
      <c r="H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2.8" hidden="false" customHeight="false" outlineLevel="0" collapsed="false">
      <c r="A11" s="2"/>
      <c r="B11" s="2"/>
      <c r="C11" s="3"/>
      <c r="D11" s="2"/>
      <c r="E11" s="2"/>
      <c r="F11" s="2"/>
      <c r="G11" s="2"/>
      <c r="H11" s="2"/>
    </row>
    <row r="13" customFormat="false" ht="12.8" hidden="false" customHeight="false" outlineLevel="0" collapsed="false">
      <c r="C13" s="4"/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18" customFormat="false" ht="12.8" hidden="false" customHeight="false" outlineLevel="0" collapsed="false">
      <c r="C1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23" activeCellId="0" sqref="C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47"/>
    <col collapsed="false" customWidth="true" hidden="false" outlineLevel="0" max="4" min="2" style="1" width="16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customFormat="false" ht="12.8" hidden="false" customHeight="false" outlineLevel="0" collapsed="false">
      <c r="A2" s="3" t="s">
        <v>14</v>
      </c>
      <c r="B2" s="3" t="s">
        <v>15</v>
      </c>
      <c r="C2" s="3" t="n">
        <f aca="false">'ELV_ICE-prd'!C$2*D2</f>
        <v>485.1</v>
      </c>
      <c r="D2" s="2" t="n">
        <v>0.63</v>
      </c>
      <c r="E2" s="2" t="n">
        <v>0.1</v>
      </c>
      <c r="F2" s="2"/>
      <c r="G2" s="2"/>
      <c r="H2" s="2"/>
    </row>
    <row r="3" customFormat="false" ht="12.8" hidden="false" customHeight="false" outlineLevel="0" collapsed="false">
      <c r="A3" s="3" t="s">
        <v>16</v>
      </c>
      <c r="B3" s="3" t="s">
        <v>15</v>
      </c>
      <c r="C3" s="3" t="n">
        <f aca="false">'ELV_ICE-prd'!C$2*D3</f>
        <v>169.4</v>
      </c>
      <c r="D3" s="2" t="n">
        <v>0.22</v>
      </c>
      <c r="E3" s="2" t="n">
        <v>0.1</v>
      </c>
      <c r="F3" s="2"/>
      <c r="G3" s="2"/>
      <c r="H3" s="2"/>
    </row>
    <row r="4" customFormat="false" ht="12.8" hidden="false" customHeight="false" outlineLevel="0" collapsed="false">
      <c r="A4" s="2" t="s">
        <v>17</v>
      </c>
      <c r="B4" s="2" t="s">
        <v>15</v>
      </c>
      <c r="C4" s="3" t="n">
        <f aca="false">'ELV_ICE-prd'!C$2*D4</f>
        <v>30.8</v>
      </c>
      <c r="D4" s="2" t="n">
        <v>0.04</v>
      </c>
      <c r="E4" s="2" t="n">
        <v>0.1</v>
      </c>
      <c r="F4" s="2"/>
      <c r="G4" s="2"/>
      <c r="H4" s="2"/>
    </row>
    <row r="5" customFormat="false" ht="12.8" hidden="false" customHeight="false" outlineLevel="0" collapsed="false">
      <c r="A5" s="3" t="s">
        <v>18</v>
      </c>
      <c r="B5" s="3" t="s">
        <v>15</v>
      </c>
      <c r="C5" s="3" t="n">
        <f aca="false">'ELV_ICE-prd'!C$2*D5</f>
        <v>84.7</v>
      </c>
      <c r="D5" s="2" t="n">
        <v>0.11</v>
      </c>
      <c r="E5" s="2" t="n">
        <v>0.1</v>
      </c>
      <c r="F5" s="2"/>
      <c r="G5" s="2"/>
      <c r="H5" s="2"/>
    </row>
    <row r="6" customFormat="false" ht="12.8" hidden="false" customHeight="false" outlineLevel="0" collapsed="false">
      <c r="A6" s="2" t="s">
        <v>13</v>
      </c>
      <c r="B6" s="2"/>
      <c r="C6" s="3" t="n">
        <f aca="false">'ELV_ICE-prd'!C2</f>
        <v>770</v>
      </c>
      <c r="D6" s="2" t="n">
        <f aca="false">SUM(D2:D5)</f>
        <v>1</v>
      </c>
      <c r="E6" s="2"/>
      <c r="F6" s="2"/>
      <c r="G6" s="2"/>
      <c r="H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2.8" hidden="false" customHeight="false" outlineLevel="0" collapsed="false">
      <c r="A8" s="2"/>
      <c r="B8" s="2"/>
      <c r="C8" s="3"/>
      <c r="D8" s="2"/>
      <c r="E8" s="2"/>
      <c r="F8" s="2"/>
      <c r="G8" s="2"/>
      <c r="H8" s="2"/>
    </row>
    <row r="10" customFormat="false" ht="12.8" hidden="false" customHeight="false" outlineLevel="0" collapsed="false">
      <c r="C10" s="4"/>
    </row>
    <row r="11" customFormat="false" ht="12.8" hidden="false" customHeight="false" outlineLevel="0" collapsed="false">
      <c r="C11" s="4"/>
    </row>
    <row r="12" customFormat="false" ht="12.8" hidden="false" customHeight="false" outlineLevel="0" collapsed="false">
      <c r="C12" s="4"/>
    </row>
    <row r="13" customFormat="false" ht="12.8" hidden="false" customHeight="false" outlineLevel="0" collapsed="false">
      <c r="C13" s="4"/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</sheetData>
  <autoFilter ref="A1:E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47"/>
    <col collapsed="false" customWidth="true" hidden="false" outlineLevel="0" max="4" min="2" style="1" width="16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customFormat="false" ht="12.8" hidden="false" customHeight="false" outlineLevel="0" collapsed="false">
      <c r="A2" s="3" t="s">
        <v>14</v>
      </c>
      <c r="B2" s="3" t="s">
        <v>15</v>
      </c>
      <c r="C2" s="3" t="n">
        <f aca="false">'ELV_ICE-prd'!C$3*D2</f>
        <v>378</v>
      </c>
      <c r="D2" s="2" t="n">
        <v>0.9</v>
      </c>
      <c r="E2" s="2" t="n">
        <v>0.1</v>
      </c>
      <c r="F2" s="2"/>
      <c r="G2" s="2"/>
      <c r="H2" s="2"/>
    </row>
    <row r="3" customFormat="false" ht="12.8" hidden="false" customHeight="false" outlineLevel="0" collapsed="false">
      <c r="A3" s="3" t="s">
        <v>16</v>
      </c>
      <c r="B3" s="3" t="s">
        <v>15</v>
      </c>
      <c r="C3" s="3" t="n">
        <f aca="false">'ELV_ICE-prd'!C$3*D3</f>
        <v>29.4</v>
      </c>
      <c r="D3" s="2" t="n">
        <v>0.07</v>
      </c>
      <c r="E3" s="2" t="n">
        <v>0.1</v>
      </c>
      <c r="F3" s="2"/>
      <c r="G3" s="2"/>
      <c r="H3" s="2"/>
    </row>
    <row r="4" customFormat="false" ht="12.8" hidden="false" customHeight="false" outlineLevel="0" collapsed="false">
      <c r="A4" s="3" t="s">
        <v>18</v>
      </c>
      <c r="B4" s="3" t="s">
        <v>15</v>
      </c>
      <c r="C4" s="3" t="n">
        <f aca="false">'ELV_ICE-prd'!C$3*D4</f>
        <v>12.6</v>
      </c>
      <c r="D4" s="2" t="n">
        <v>0.03</v>
      </c>
      <c r="E4" s="2" t="n">
        <v>0.1</v>
      </c>
      <c r="F4" s="2"/>
      <c r="G4" s="2"/>
      <c r="H4" s="2"/>
    </row>
    <row r="5" customFormat="false" ht="12.8" hidden="false" customHeight="false" outlineLevel="0" collapsed="false">
      <c r="A5" s="2" t="s">
        <v>13</v>
      </c>
      <c r="B5" s="2"/>
      <c r="C5" s="3" t="n">
        <f aca="false">'ELV_ICE-prd'!C3</f>
        <v>420</v>
      </c>
      <c r="D5" s="2" t="n">
        <f aca="false">SUM(D2:D4)</f>
        <v>1</v>
      </c>
      <c r="E5" s="2"/>
      <c r="F5" s="2"/>
      <c r="G5" s="2"/>
      <c r="H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2.8" hidden="false" customHeight="false" outlineLevel="0" collapsed="false">
      <c r="A7" s="2"/>
      <c r="B7" s="2"/>
      <c r="C7" s="3"/>
      <c r="D7" s="2"/>
      <c r="E7" s="2"/>
      <c r="F7" s="2"/>
      <c r="G7" s="2"/>
      <c r="H7" s="2"/>
    </row>
    <row r="9" customFormat="false" ht="12.8" hidden="false" customHeight="false" outlineLevel="0" collapsed="false">
      <c r="C9" s="4"/>
    </row>
    <row r="10" customFormat="false" ht="12.8" hidden="false" customHeight="false" outlineLevel="0" collapsed="false">
      <c r="C10" s="4"/>
    </row>
    <row r="11" customFormat="false" ht="12.8" hidden="false" customHeight="false" outlineLevel="0" collapsed="false">
      <c r="C11" s="4"/>
    </row>
    <row r="12" customFormat="false" ht="12.8" hidden="false" customHeight="false" outlineLevel="0" collapsed="false">
      <c r="C12" s="4"/>
    </row>
    <row r="13" customFormat="false" ht="12.8" hidden="false" customHeight="false" outlineLevel="0" collapsed="false">
      <c r="C13" s="4"/>
    </row>
    <row r="14" customFormat="false" ht="12.8" hidden="false" customHeight="false" outlineLevel="0" collapsed="false">
      <c r="C14" s="4"/>
    </row>
  </sheetData>
  <autoFilter ref="A1:E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19</v>
      </c>
      <c r="B2" s="1" t="s">
        <v>15</v>
      </c>
      <c r="C2" s="1" t="n">
        <f aca="false">0.31*70</f>
        <v>21.7</v>
      </c>
      <c r="D2" s="1" t="n">
        <v>0.31</v>
      </c>
      <c r="E2" s="2" t="n">
        <v>0.1</v>
      </c>
    </row>
    <row r="3" customFormat="false" ht="12.8" hidden="false" customHeight="false" outlineLevel="0" collapsed="false">
      <c r="A3" s="2" t="s">
        <v>14</v>
      </c>
      <c r="B3" s="2" t="s">
        <v>15</v>
      </c>
      <c r="C3" s="3" t="n">
        <f aca="false">'ELV_ICE-prd'!C$4*D3</f>
        <v>41.3</v>
      </c>
      <c r="D3" s="2" t="n">
        <v>0.59</v>
      </c>
      <c r="E3" s="2" t="n">
        <v>0.1</v>
      </c>
    </row>
    <row r="4" customFormat="false" ht="12.8" hidden="false" customHeight="false" outlineLevel="0" collapsed="false">
      <c r="A4" s="2" t="s">
        <v>18</v>
      </c>
      <c r="B4" s="2" t="s">
        <v>15</v>
      </c>
      <c r="C4" s="3" t="n">
        <f aca="false">'ELV_ICE-prd'!C$4*D4</f>
        <v>7</v>
      </c>
      <c r="D4" s="2" t="n">
        <v>0.1</v>
      </c>
      <c r="E4" s="2" t="n">
        <v>0.1</v>
      </c>
    </row>
    <row r="5" customFormat="false" ht="12.8" hidden="false" customHeight="false" outlineLevel="0" collapsed="false">
      <c r="A5" s="2" t="s">
        <v>13</v>
      </c>
      <c r="C5" s="2" t="n">
        <f aca="false">'ELV_ICE-prd'!C4</f>
        <v>70</v>
      </c>
      <c r="D5" s="2" t="n">
        <f aca="false">SUM(D2:D4)</f>
        <v>1</v>
      </c>
    </row>
    <row r="6" customFormat="false" ht="12.8" hidden="false" customHeight="false" outlineLevel="0" collapsed="false">
      <c r="C6" s="3"/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  <row r="9" customFormat="false" ht="12.8" hidden="false" customHeight="false" outlineLevel="0" collapsed="false">
      <c r="C9" s="3"/>
    </row>
    <row r="10" customFormat="false" ht="12.8" hidden="false" customHeight="false" outlineLevel="0" collapsed="false">
      <c r="C10" s="3"/>
    </row>
    <row r="11" customFormat="false" ht="12.8" hidden="false" customHeight="false" outlineLevel="0" collapsed="false">
      <c r="C11" s="3"/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14</v>
      </c>
      <c r="B2" s="3" t="s">
        <v>15</v>
      </c>
      <c r="C2" s="3" t="n">
        <f aca="false">$C$4*D2</f>
        <v>15.4</v>
      </c>
      <c r="D2" s="2" t="n">
        <v>0.55</v>
      </c>
      <c r="E2" s="2" t="n">
        <v>0.1</v>
      </c>
    </row>
    <row r="3" customFormat="false" ht="12.8" hidden="false" customHeight="false" outlineLevel="0" collapsed="false">
      <c r="A3" s="3" t="s">
        <v>20</v>
      </c>
      <c r="B3" s="3" t="s">
        <v>15</v>
      </c>
      <c r="C3" s="3" t="n">
        <f aca="false">$C$4*D3</f>
        <v>4.2</v>
      </c>
      <c r="D3" s="2" t="n">
        <v>0.15</v>
      </c>
      <c r="E3" s="2" t="n">
        <v>0.1</v>
      </c>
    </row>
    <row r="4" customFormat="false" ht="12.8" hidden="false" customHeight="false" outlineLevel="0" collapsed="false">
      <c r="A4" s="2" t="s">
        <v>13</v>
      </c>
      <c r="C4" s="3" t="n">
        <f aca="false">'ELV_ICE-prd'!C$6</f>
        <v>28</v>
      </c>
      <c r="D4" s="2" t="n">
        <f aca="false">SUM(D2:D3)</f>
        <v>0.7</v>
      </c>
    </row>
    <row r="5" customFormat="false" ht="12.8" hidden="false" customHeight="false" outlineLevel="0" collapsed="false">
      <c r="C5" s="3"/>
    </row>
    <row r="6" customFormat="false" ht="12.8" hidden="false" customHeight="false" outlineLevel="0" collapsed="false">
      <c r="C6" s="3"/>
    </row>
    <row r="7" customFormat="false" ht="12.8" hidden="false" customHeight="false" outlineLevel="0" collapsed="false">
      <c r="C7" s="3"/>
    </row>
  </sheetData>
  <autoFilter ref="A1:E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21</v>
      </c>
      <c r="B2" s="3" t="s">
        <v>22</v>
      </c>
      <c r="C2" s="3" t="n">
        <f aca="false">'ELV_ICE-prd'!C$6*D2</f>
        <v>11.2</v>
      </c>
      <c r="D2" s="2" t="n">
        <v>0.4</v>
      </c>
      <c r="E2" s="2" t="n">
        <v>0.1</v>
      </c>
    </row>
    <row r="3" customFormat="false" ht="12.8" hidden="false" customHeight="false" outlineLevel="0" collapsed="false">
      <c r="A3" s="3" t="s">
        <v>23</v>
      </c>
      <c r="B3" s="3" t="s">
        <v>22</v>
      </c>
      <c r="C3" s="3" t="n">
        <f aca="false">'ELV_ICE-prd'!C$6*D3</f>
        <v>5.6</v>
      </c>
      <c r="D3" s="2" t="n">
        <v>0.2</v>
      </c>
      <c r="E3" s="2" t="n">
        <v>0.1</v>
      </c>
    </row>
    <row r="4" customFormat="false" ht="12.8" hidden="false" customHeight="false" outlineLevel="0" collapsed="false">
      <c r="A4" s="3" t="s">
        <v>24</v>
      </c>
      <c r="B4" s="3" t="s">
        <v>22</v>
      </c>
      <c r="C4" s="3" t="n">
        <f aca="false">'ELV_ICE-prd'!C$6*D4</f>
        <v>0.28</v>
      </c>
      <c r="D4" s="2" t="n">
        <v>0.01</v>
      </c>
      <c r="E4" s="2" t="n">
        <v>0.1</v>
      </c>
    </row>
    <row r="5" customFormat="false" ht="12.8" hidden="false" customHeight="false" outlineLevel="0" collapsed="false">
      <c r="A5" s="2" t="s">
        <v>25</v>
      </c>
      <c r="B5" s="3" t="s">
        <v>22</v>
      </c>
      <c r="C5" s="3" t="n">
        <f aca="false">'ELV_ICE-prd'!C$6*D5</f>
        <v>0.28</v>
      </c>
      <c r="D5" s="2" t="n">
        <v>0.01</v>
      </c>
      <c r="E5" s="2" t="n">
        <v>0.1</v>
      </c>
    </row>
    <row r="6" customFormat="false" ht="12.8" hidden="false" customHeight="false" outlineLevel="0" collapsed="false">
      <c r="A6" s="2" t="s">
        <v>26</v>
      </c>
      <c r="B6" s="3" t="s">
        <v>22</v>
      </c>
      <c r="C6" s="3" t="n">
        <f aca="false">'ELV_ICE-prd'!C$6*D6</f>
        <v>0.84</v>
      </c>
      <c r="D6" s="2" t="n">
        <v>0.03</v>
      </c>
      <c r="E6" s="2" t="n">
        <v>0.1</v>
      </c>
    </row>
    <row r="7" customFormat="false" ht="12.8" hidden="false" customHeight="false" outlineLevel="0" collapsed="false">
      <c r="A7" s="2" t="s">
        <v>27</v>
      </c>
      <c r="B7" s="3" t="s">
        <v>22</v>
      </c>
      <c r="C7" s="3" t="n">
        <f aca="false">'ELV_ICE-prd'!C$6*D7</f>
        <v>0.28</v>
      </c>
      <c r="D7" s="2" t="n">
        <v>0.01</v>
      </c>
      <c r="E7" s="2" t="n">
        <v>0.1</v>
      </c>
    </row>
    <row r="8" customFormat="false" ht="12.8" hidden="false" customHeight="false" outlineLevel="0" collapsed="false">
      <c r="A8" s="2" t="s">
        <v>28</v>
      </c>
      <c r="B8" s="3" t="s">
        <v>22</v>
      </c>
      <c r="C8" s="3" t="n">
        <f aca="false">'ELV_ICE-prd'!C$6*D8</f>
        <v>0.56</v>
      </c>
      <c r="D8" s="2" t="n">
        <v>0.02</v>
      </c>
      <c r="E8" s="2" t="n">
        <v>1.1</v>
      </c>
    </row>
    <row r="9" customFormat="false" ht="12.8" hidden="false" customHeight="false" outlineLevel="0" collapsed="false">
      <c r="A9" s="2" t="s">
        <v>29</v>
      </c>
      <c r="B9" s="3" t="s">
        <v>22</v>
      </c>
      <c r="C9" s="3" t="n">
        <f aca="false">'ELV_ICE-prd'!C$6*D9</f>
        <v>0.28</v>
      </c>
      <c r="D9" s="2" t="n">
        <v>0.01</v>
      </c>
      <c r="E9" s="2" t="n">
        <v>2.1</v>
      </c>
    </row>
    <row r="10" customFormat="false" ht="12.8" hidden="false" customHeight="false" outlineLevel="0" collapsed="false">
      <c r="A10" s="2" t="s">
        <v>30</v>
      </c>
      <c r="B10" s="2" t="s">
        <v>15</v>
      </c>
      <c r="C10" s="3" t="n">
        <f aca="false">'ELV_ICE-prd'!C$6*D10</f>
        <v>8.68</v>
      </c>
      <c r="D10" s="2" t="n">
        <v>0.31</v>
      </c>
      <c r="E10" s="2" t="n">
        <v>3.1</v>
      </c>
    </row>
    <row r="11" customFormat="false" ht="12.8" hidden="false" customHeight="false" outlineLevel="0" collapsed="false">
      <c r="A11" s="2" t="s">
        <v>13</v>
      </c>
      <c r="C11" s="2" t="n">
        <f aca="false">'ELV_ICE-prd'!C6</f>
        <v>28</v>
      </c>
      <c r="D11" s="2" t="n">
        <f aca="false">SUM(D2:D10)</f>
        <v>1</v>
      </c>
    </row>
    <row r="12" customFormat="false" ht="12.8" hidden="false" customHeight="false" outlineLevel="0" collapsed="false">
      <c r="C12" s="3"/>
    </row>
    <row r="13" customFormat="false" ht="12.8" hidden="false" customHeight="false" outlineLevel="0" collapsed="false">
      <c r="C13" s="3"/>
    </row>
    <row r="14" customFormat="false" ht="12.8" hidden="false" customHeight="false" outlineLevel="0" collapsed="false">
      <c r="C14" s="3"/>
    </row>
  </sheetData>
  <autoFilter ref="A1:E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31</v>
      </c>
      <c r="B2" s="3" t="s">
        <v>15</v>
      </c>
      <c r="C2" s="3" t="n">
        <v>28</v>
      </c>
      <c r="D2" s="2" t="n">
        <v>1</v>
      </c>
      <c r="E2" s="2" t="n">
        <v>0.1</v>
      </c>
    </row>
    <row r="3" customFormat="false" ht="12.8" hidden="false" customHeight="false" outlineLevel="0" collapsed="false">
      <c r="A3" s="2" t="s">
        <v>13</v>
      </c>
      <c r="C3" s="2" t="n">
        <f aca="false">'ELV_ICE-prd'!C6</f>
        <v>28</v>
      </c>
      <c r="D3" s="2" t="n">
        <f aca="false">SUM(D2:D2)</f>
        <v>1</v>
      </c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C5" s="3"/>
    </row>
    <row r="6" customFormat="false" ht="12.8" hidden="false" customHeight="false" outlineLevel="0" collapsed="false">
      <c r="C6" s="3"/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27</v>
      </c>
      <c r="B2" s="3" t="s">
        <v>22</v>
      </c>
      <c r="C2" s="3" t="n">
        <f aca="false">C$5*D2</f>
        <v>18.2</v>
      </c>
      <c r="D2" s="2" t="n">
        <v>0.65</v>
      </c>
      <c r="E2" s="2" t="n">
        <v>0.1</v>
      </c>
    </row>
    <row r="3" customFormat="false" ht="12.8" hidden="false" customHeight="false" outlineLevel="0" collapsed="false">
      <c r="A3" s="3" t="s">
        <v>32</v>
      </c>
      <c r="B3" s="3" t="s">
        <v>33</v>
      </c>
      <c r="C3" s="3" t="n">
        <f aca="false">C$5*D3</f>
        <v>7</v>
      </c>
      <c r="D3" s="2" t="n">
        <v>0.25</v>
      </c>
      <c r="E3" s="2" t="n">
        <v>0.1</v>
      </c>
    </row>
    <row r="4" customFormat="false" ht="12.8" hidden="false" customHeight="false" outlineLevel="0" collapsed="false">
      <c r="A4" s="2" t="s">
        <v>30</v>
      </c>
      <c r="B4" s="2" t="s">
        <v>15</v>
      </c>
      <c r="C4" s="3" t="n">
        <f aca="false">C$5*D4</f>
        <v>2.8</v>
      </c>
      <c r="D4" s="2" t="n">
        <v>0.1</v>
      </c>
      <c r="E4" s="2" t="n">
        <v>0.1</v>
      </c>
    </row>
    <row r="5" customFormat="false" ht="12.8" hidden="false" customHeight="false" outlineLevel="0" collapsed="false">
      <c r="A5" s="2" t="s">
        <v>13</v>
      </c>
      <c r="C5" s="3" t="n">
        <f aca="false">'ELV_ICE-prd'!C$7</f>
        <v>28</v>
      </c>
      <c r="D5" s="2" t="n">
        <f aca="false">SUM(D2:D4)</f>
        <v>1</v>
      </c>
    </row>
    <row r="6" customFormat="false" ht="12.8" hidden="false" customHeight="false" outlineLevel="0" collapsed="false">
      <c r="C6" s="3"/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</sheetData>
  <autoFilter ref="A1:E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J1" colorId="64" zoomScale="160" zoomScaleNormal="16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23</v>
      </c>
      <c r="B2" s="3" t="s">
        <v>22</v>
      </c>
      <c r="C2" s="3" t="n">
        <f aca="false">$C$11*D2</f>
        <v>109.34</v>
      </c>
      <c r="D2" s="2" t="n">
        <v>0.55</v>
      </c>
      <c r="E2" s="2" t="n">
        <v>0.1</v>
      </c>
    </row>
    <row r="3" customFormat="false" ht="12.8" hidden="false" customHeight="false" outlineLevel="0" collapsed="false">
      <c r="A3" s="3" t="s">
        <v>21</v>
      </c>
      <c r="B3" s="3" t="s">
        <v>22</v>
      </c>
      <c r="C3" s="3" t="n">
        <f aca="false">$C$11*D3</f>
        <v>29.82</v>
      </c>
      <c r="D3" s="2" t="n">
        <v>0.15</v>
      </c>
      <c r="E3" s="2" t="n">
        <v>0.1</v>
      </c>
    </row>
    <row r="4" customFormat="false" ht="12.8" hidden="false" customHeight="false" outlineLevel="0" collapsed="false">
      <c r="A4" s="3" t="s">
        <v>34</v>
      </c>
      <c r="B4" s="3" t="s">
        <v>22</v>
      </c>
      <c r="C4" s="3" t="n">
        <f aca="false">$C$11*D4</f>
        <v>15.904</v>
      </c>
      <c r="D4" s="2" t="n">
        <v>0.08</v>
      </c>
      <c r="E4" s="2" t="n">
        <v>0.1</v>
      </c>
    </row>
    <row r="5" customFormat="false" ht="12.8" hidden="false" customHeight="false" outlineLevel="0" collapsed="false">
      <c r="A5" s="3" t="s">
        <v>27</v>
      </c>
      <c r="B5" s="3" t="s">
        <v>22</v>
      </c>
      <c r="C5" s="3" t="n">
        <f aca="false">$C$11*D5</f>
        <v>5.964</v>
      </c>
      <c r="D5" s="2" t="n">
        <v>0.03</v>
      </c>
      <c r="E5" s="2" t="n">
        <v>0.1</v>
      </c>
    </row>
    <row r="6" customFormat="false" ht="12.8" hidden="false" customHeight="false" outlineLevel="0" collapsed="false">
      <c r="A6" s="3" t="s">
        <v>35</v>
      </c>
      <c r="B6" s="3" t="s">
        <v>22</v>
      </c>
      <c r="C6" s="3" t="n">
        <f aca="false">$C$11*D6</f>
        <v>5.964</v>
      </c>
      <c r="D6" s="2" t="n">
        <v>0.03</v>
      </c>
      <c r="E6" s="2" t="n">
        <v>0.1</v>
      </c>
    </row>
    <row r="7" customFormat="false" ht="12.8" hidden="false" customHeight="false" outlineLevel="0" collapsed="false">
      <c r="A7" s="3" t="s">
        <v>28</v>
      </c>
      <c r="B7" s="3" t="s">
        <v>22</v>
      </c>
      <c r="C7" s="3" t="n">
        <f aca="false">$C$11*D7</f>
        <v>3.976</v>
      </c>
      <c r="D7" s="2" t="n">
        <v>0.02</v>
      </c>
      <c r="E7" s="2" t="n">
        <v>0.1</v>
      </c>
    </row>
    <row r="8" customFormat="false" ht="12.8" hidden="false" customHeight="false" outlineLevel="0" collapsed="false">
      <c r="A8" s="3" t="s">
        <v>36</v>
      </c>
      <c r="B8" s="3" t="s">
        <v>22</v>
      </c>
      <c r="C8" s="3" t="n">
        <f aca="false">$C$11*D8</f>
        <v>3.976</v>
      </c>
      <c r="D8" s="2" t="n">
        <v>0.02</v>
      </c>
      <c r="E8" s="2" t="n">
        <v>1.1</v>
      </c>
    </row>
    <row r="9" customFormat="false" ht="12.8" hidden="false" customHeight="false" outlineLevel="0" collapsed="false">
      <c r="A9" s="3" t="s">
        <v>26</v>
      </c>
      <c r="B9" s="3" t="s">
        <v>22</v>
      </c>
      <c r="C9" s="3" t="n">
        <f aca="false">$C$11*D9</f>
        <v>3.976</v>
      </c>
      <c r="D9" s="2" t="n">
        <v>0.02</v>
      </c>
      <c r="E9" s="2" t="n">
        <v>2.1</v>
      </c>
    </row>
    <row r="10" customFormat="false" ht="12.8" hidden="false" customHeight="false" outlineLevel="0" collapsed="false">
      <c r="A10" s="2" t="s">
        <v>18</v>
      </c>
      <c r="B10" s="2" t="s">
        <v>15</v>
      </c>
      <c r="C10" s="3" t="n">
        <f aca="false">$C$11*D10</f>
        <v>19.88</v>
      </c>
      <c r="D10" s="2" t="n">
        <v>0.1</v>
      </c>
      <c r="E10" s="2" t="n">
        <v>3.1</v>
      </c>
    </row>
    <row r="11" customFormat="false" ht="12.8" hidden="false" customHeight="false" outlineLevel="0" collapsed="false">
      <c r="A11" s="2" t="s">
        <v>13</v>
      </c>
      <c r="C11" s="3" t="n">
        <f aca="false">'ELV_ICE_engtrans-cpt'!C3+'ELV_ICE_body-cpt'!C3</f>
        <v>198.8</v>
      </c>
      <c r="D11" s="2" t="n">
        <f aca="false">SUM(D2:D10)</f>
        <v>1</v>
      </c>
    </row>
    <row r="12" customFormat="false" ht="12.8" hidden="false" customHeight="false" outlineLevel="0" collapsed="false">
      <c r="C12" s="3"/>
    </row>
    <row r="13" customFormat="false" ht="12.8" hidden="false" customHeight="false" outlineLevel="0" collapsed="false">
      <c r="C13" s="3"/>
    </row>
    <row r="14" customFormat="false" ht="12.8" hidden="false" customHeight="false" outlineLevel="0" collapsed="false">
      <c r="C14" s="3"/>
    </row>
  </sheetData>
  <autoFilter ref="A1:E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23</v>
      </c>
      <c r="B2" s="3" t="s">
        <v>22</v>
      </c>
      <c r="C2" s="3" t="n">
        <f aca="false">$C$11*D2</f>
        <v>19.88</v>
      </c>
      <c r="D2" s="2" t="n">
        <v>0.1</v>
      </c>
      <c r="E2" s="2" t="n">
        <v>0.1</v>
      </c>
    </row>
    <row r="3" customFormat="false" ht="12.8" hidden="false" customHeight="false" outlineLevel="0" collapsed="false">
      <c r="A3" s="3" t="s">
        <v>21</v>
      </c>
      <c r="B3" s="3" t="s">
        <v>22</v>
      </c>
      <c r="C3" s="3" t="n">
        <f aca="false">$C$11*D3</f>
        <v>3.976</v>
      </c>
      <c r="D3" s="2" t="n">
        <v>0.02</v>
      </c>
      <c r="E3" s="2" t="n">
        <v>0.1</v>
      </c>
    </row>
    <row r="4" customFormat="false" ht="12.8" hidden="false" customHeight="false" outlineLevel="0" collapsed="false">
      <c r="A4" s="3" t="s">
        <v>34</v>
      </c>
      <c r="B4" s="3" t="s">
        <v>22</v>
      </c>
      <c r="C4" s="3" t="n">
        <f aca="false">$C$11*D4</f>
        <v>3.976</v>
      </c>
      <c r="D4" s="2" t="n">
        <v>0.02</v>
      </c>
      <c r="E4" s="2" t="n">
        <v>0.1</v>
      </c>
    </row>
    <row r="5" customFormat="false" ht="12.8" hidden="false" customHeight="false" outlineLevel="0" collapsed="false">
      <c r="A5" s="3" t="s">
        <v>27</v>
      </c>
      <c r="B5" s="3" t="s">
        <v>22</v>
      </c>
      <c r="C5" s="3" t="n">
        <f aca="false">$C$11*D5</f>
        <v>1.988</v>
      </c>
      <c r="D5" s="2" t="n">
        <v>0.01</v>
      </c>
      <c r="E5" s="2" t="n">
        <v>0.1</v>
      </c>
    </row>
    <row r="6" customFormat="false" ht="12.8" hidden="false" customHeight="false" outlineLevel="0" collapsed="false">
      <c r="A6" s="3" t="s">
        <v>35</v>
      </c>
      <c r="B6" s="3" t="s">
        <v>22</v>
      </c>
      <c r="C6" s="3" t="n">
        <f aca="false">$C$11*D6</f>
        <v>1.988</v>
      </c>
      <c r="D6" s="2" t="n">
        <v>0.01</v>
      </c>
      <c r="E6" s="2" t="n">
        <v>0.1</v>
      </c>
    </row>
    <row r="7" customFormat="false" ht="12.8" hidden="false" customHeight="false" outlineLevel="0" collapsed="false">
      <c r="A7" s="3" t="s">
        <v>28</v>
      </c>
      <c r="B7" s="3" t="s">
        <v>22</v>
      </c>
      <c r="C7" s="3" t="n">
        <f aca="false">$C$11*D7</f>
        <v>1.988</v>
      </c>
      <c r="D7" s="2" t="n">
        <v>0.01</v>
      </c>
      <c r="E7" s="2" t="n">
        <v>0.1</v>
      </c>
    </row>
    <row r="8" customFormat="false" ht="12.8" hidden="false" customHeight="false" outlineLevel="0" collapsed="false">
      <c r="A8" s="3" t="s">
        <v>36</v>
      </c>
      <c r="B8" s="3" t="s">
        <v>22</v>
      </c>
      <c r="C8" s="3" t="n">
        <f aca="false">$C$11*D8</f>
        <v>1.988</v>
      </c>
      <c r="D8" s="2" t="n">
        <v>0.01</v>
      </c>
      <c r="E8" s="2" t="n">
        <v>1.1</v>
      </c>
    </row>
    <row r="9" customFormat="false" ht="12.8" hidden="false" customHeight="false" outlineLevel="0" collapsed="false">
      <c r="A9" s="3" t="s">
        <v>26</v>
      </c>
      <c r="B9" s="3" t="s">
        <v>22</v>
      </c>
      <c r="C9" s="3" t="n">
        <f aca="false">$C$11*D9</f>
        <v>1.988</v>
      </c>
      <c r="D9" s="2" t="n">
        <v>0.01</v>
      </c>
      <c r="E9" s="2" t="n">
        <v>2.1</v>
      </c>
    </row>
    <row r="10" customFormat="false" ht="12.8" hidden="false" customHeight="false" outlineLevel="0" collapsed="false">
      <c r="A10" s="2" t="s">
        <v>18</v>
      </c>
      <c r="B10" s="2" t="s">
        <v>15</v>
      </c>
      <c r="C10" s="3" t="n">
        <f aca="false">$C$11*D10</f>
        <v>161.028</v>
      </c>
      <c r="D10" s="2" t="n">
        <v>0.81</v>
      </c>
      <c r="E10" s="2" t="n">
        <v>3.1</v>
      </c>
    </row>
    <row r="11" customFormat="false" ht="12.8" hidden="false" customHeight="false" outlineLevel="0" collapsed="false">
      <c r="A11" s="2" t="s">
        <v>13</v>
      </c>
      <c r="C11" s="3" t="n">
        <f aca="false">'ELV_ICE_engtrans-cpt'!C3+'ELV_ICE_body-cpt'!C3</f>
        <v>198.8</v>
      </c>
      <c r="D11" s="2" t="n">
        <f aca="false">SUM(D2:D10)</f>
        <v>1</v>
      </c>
    </row>
    <row r="12" customFormat="false" ht="12.8" hidden="false" customHeight="false" outlineLevel="0" collapsed="false">
      <c r="C12" s="3"/>
    </row>
    <row r="13" customFormat="false" ht="12.8" hidden="false" customHeight="false" outlineLevel="0" collapsed="false">
      <c r="C13" s="3"/>
    </row>
    <row r="14" customFormat="false" ht="12.8" hidden="false" customHeight="false" outlineLevel="0" collapsed="false">
      <c r="C14" s="3"/>
    </row>
  </sheetData>
  <autoFilter ref="A1:E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37</v>
      </c>
      <c r="B2" s="3" t="s">
        <v>22</v>
      </c>
      <c r="C2" s="3" t="n">
        <f aca="false">$C$6*D2</f>
        <v>859.18</v>
      </c>
      <c r="D2" s="2" t="n">
        <v>0.95</v>
      </c>
      <c r="E2" s="2" t="n">
        <v>0.1</v>
      </c>
    </row>
    <row r="3" customFormat="false" ht="12.8" hidden="false" customHeight="false" outlineLevel="0" collapsed="false">
      <c r="A3" s="3" t="s">
        <v>28</v>
      </c>
      <c r="B3" s="3" t="s">
        <v>22</v>
      </c>
      <c r="C3" s="3" t="n">
        <f aca="false">$C$6*D3</f>
        <v>9.044</v>
      </c>
      <c r="D3" s="2" t="n">
        <v>0.01</v>
      </c>
      <c r="E3" s="2" t="n">
        <v>0.1</v>
      </c>
    </row>
    <row r="4" customFormat="false" ht="12.8" hidden="false" customHeight="false" outlineLevel="0" collapsed="false">
      <c r="A4" s="3" t="s">
        <v>38</v>
      </c>
      <c r="B4" s="3" t="s">
        <v>22</v>
      </c>
      <c r="C4" s="3" t="n">
        <f aca="false">$C$6*D4</f>
        <v>9.044</v>
      </c>
      <c r="D4" s="2" t="n">
        <v>0.01</v>
      </c>
      <c r="E4" s="2" t="n">
        <v>0.1</v>
      </c>
    </row>
    <row r="5" customFormat="false" ht="12.8" hidden="false" customHeight="false" outlineLevel="0" collapsed="false">
      <c r="A5" s="2" t="s">
        <v>18</v>
      </c>
      <c r="B5" s="2" t="s">
        <v>15</v>
      </c>
      <c r="C5" s="3" t="n">
        <f aca="false">$C$6*D5</f>
        <v>27.132</v>
      </c>
      <c r="D5" s="2" t="n">
        <v>0.03</v>
      </c>
      <c r="E5" s="2" t="n">
        <v>3.1</v>
      </c>
    </row>
    <row r="6" customFormat="false" ht="12.8" hidden="false" customHeight="false" outlineLevel="0" collapsed="false">
      <c r="A6" s="2" t="s">
        <v>13</v>
      </c>
      <c r="C6" s="3" t="n">
        <f aca="false">'ELV_ICE_engtrans-cpt'!C2+'ELV_ICE_body-cpt'!C2+'ELV_ICE_catconv-cpt'!C3</f>
        <v>904.4</v>
      </c>
      <c r="D6" s="2" t="n">
        <f aca="false">SUM(D2:D5)</f>
        <v>1</v>
      </c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  <row r="9" customFormat="false" ht="12.8" hidden="false" customHeight="false" outlineLevel="0" collapsed="false">
      <c r="C9" s="3"/>
    </row>
  </sheetData>
  <autoFilter ref="A1:E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37</v>
      </c>
      <c r="B2" s="3" t="s">
        <v>22</v>
      </c>
      <c r="C2" s="3" t="n">
        <f aca="false">$C$6*D2</f>
        <v>90.44</v>
      </c>
      <c r="D2" s="2" t="n">
        <v>0.1</v>
      </c>
      <c r="E2" s="2" t="n">
        <v>0.1</v>
      </c>
    </row>
    <row r="3" customFormat="false" ht="12.8" hidden="false" customHeight="false" outlineLevel="0" collapsed="false">
      <c r="A3" s="3" t="s">
        <v>28</v>
      </c>
      <c r="B3" s="3" t="s">
        <v>22</v>
      </c>
      <c r="C3" s="3" t="n">
        <f aca="false">$C$6*D3</f>
        <v>9.044</v>
      </c>
      <c r="D3" s="2" t="n">
        <v>0.01</v>
      </c>
      <c r="E3" s="2" t="n">
        <v>0.1</v>
      </c>
    </row>
    <row r="4" customFormat="false" ht="12.8" hidden="false" customHeight="false" outlineLevel="0" collapsed="false">
      <c r="A4" s="3" t="s">
        <v>38</v>
      </c>
      <c r="B4" s="3" t="s">
        <v>22</v>
      </c>
      <c r="C4" s="3" t="n">
        <f aca="false">$C$6*D4</f>
        <v>9.044</v>
      </c>
      <c r="D4" s="2" t="n">
        <v>0.01</v>
      </c>
      <c r="E4" s="2" t="n">
        <v>0.1</v>
      </c>
    </row>
    <row r="5" customFormat="false" ht="12.8" hidden="false" customHeight="false" outlineLevel="0" collapsed="false">
      <c r="A5" s="2" t="s">
        <v>18</v>
      </c>
      <c r="B5" s="2" t="s">
        <v>15</v>
      </c>
      <c r="C5" s="3" t="n">
        <f aca="false">$C$6*D5</f>
        <v>795.872</v>
      </c>
      <c r="D5" s="2" t="n">
        <v>0.88</v>
      </c>
      <c r="E5" s="2" t="n">
        <v>3.1</v>
      </c>
    </row>
    <row r="6" customFormat="false" ht="12.8" hidden="false" customHeight="false" outlineLevel="0" collapsed="false">
      <c r="A6" s="2" t="s">
        <v>13</v>
      </c>
      <c r="C6" s="3" t="n">
        <f aca="false">'ELV_ICE_engtrans-cpt'!C2+'ELV_ICE_body-cpt'!C2+'ELV_ICE_catconv-cpt'!C3</f>
        <v>904.4</v>
      </c>
      <c r="D6" s="2" t="n">
        <f aca="false">SUM(D2:D5)</f>
        <v>1</v>
      </c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  <row r="9" customFormat="false" ht="12.8" hidden="false" customHeight="false" outlineLevel="0" collapsed="false">
      <c r="C9" s="3"/>
    </row>
  </sheetData>
  <autoFilter ref="A1:E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20</v>
      </c>
      <c r="B2" s="3" t="s">
        <v>15</v>
      </c>
      <c r="C2" s="3" t="n">
        <v>4.2</v>
      </c>
      <c r="D2" s="2" t="n">
        <v>1</v>
      </c>
      <c r="E2" s="2" t="n">
        <v>0</v>
      </c>
    </row>
    <row r="3" customFormat="false" ht="12.8" hidden="false" customHeight="false" outlineLevel="0" collapsed="false">
      <c r="A3" s="2" t="s">
        <v>13</v>
      </c>
      <c r="C3" s="3" t="n">
        <v>4.2</v>
      </c>
      <c r="D3" s="2" t="n">
        <f aca="false">SUM(D2:D2)</f>
        <v>1</v>
      </c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C5" s="3"/>
    </row>
    <row r="6" customFormat="false" ht="12.8" hidden="false" customHeight="false" outlineLevel="0" collapsed="false">
      <c r="C6" s="3"/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39</v>
      </c>
      <c r="B2" s="3" t="s">
        <v>22</v>
      </c>
      <c r="C2" s="3" t="n">
        <f aca="false">D2*$C$7</f>
        <v>1.085</v>
      </c>
      <c r="D2" s="2" t="n">
        <v>0.05</v>
      </c>
      <c r="E2" s="2" t="n">
        <v>0.1</v>
      </c>
    </row>
    <row r="3" customFormat="false" ht="12.8" hidden="false" customHeight="false" outlineLevel="0" collapsed="false">
      <c r="A3" s="3" t="s">
        <v>29</v>
      </c>
      <c r="B3" s="3" t="s">
        <v>22</v>
      </c>
      <c r="C3" s="3" t="n">
        <f aca="false">D3*$C$7</f>
        <v>1.085</v>
      </c>
      <c r="D3" s="2" t="n">
        <v>0.05</v>
      </c>
      <c r="E3" s="2" t="n">
        <v>0.1</v>
      </c>
    </row>
    <row r="4" customFormat="false" ht="12.8" hidden="false" customHeight="false" outlineLevel="0" collapsed="false">
      <c r="A4" s="3" t="s">
        <v>40</v>
      </c>
      <c r="B4" s="3" t="s">
        <v>22</v>
      </c>
      <c r="C4" s="3" t="n">
        <f aca="false">D4*$C$7</f>
        <v>2.17</v>
      </c>
      <c r="D4" s="2" t="n">
        <v>0.1</v>
      </c>
      <c r="E4" s="2" t="n">
        <v>0.1</v>
      </c>
    </row>
    <row r="5" customFormat="false" ht="12.8" hidden="false" customHeight="false" outlineLevel="0" collapsed="false">
      <c r="A5" s="2" t="s">
        <v>41</v>
      </c>
      <c r="B5" s="3" t="s">
        <v>22</v>
      </c>
      <c r="C5" s="3" t="n">
        <f aca="false">D5*$C$7</f>
        <v>10.85</v>
      </c>
      <c r="D5" s="2" t="n">
        <v>0.5</v>
      </c>
      <c r="E5" s="2" t="n">
        <v>0.1</v>
      </c>
    </row>
    <row r="6" customFormat="false" ht="12.8" hidden="false" customHeight="false" outlineLevel="0" collapsed="false">
      <c r="A6" s="2" t="s">
        <v>18</v>
      </c>
      <c r="B6" s="3" t="s">
        <v>15</v>
      </c>
      <c r="C6" s="3" t="n">
        <f aca="false">D6*$C$7</f>
        <v>6.51</v>
      </c>
      <c r="D6" s="2" t="n">
        <v>0.3</v>
      </c>
      <c r="E6" s="2" t="n">
        <v>1.1</v>
      </c>
    </row>
    <row r="7" customFormat="false" ht="12.8" hidden="false" customHeight="false" outlineLevel="0" collapsed="false">
      <c r="A7" s="2" t="s">
        <v>13</v>
      </c>
      <c r="C7" s="3" t="n">
        <v>21.7</v>
      </c>
      <c r="D7" s="2" t="n">
        <f aca="false">SUM(D2:D6)</f>
        <v>1</v>
      </c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19</v>
      </c>
      <c r="B2" s="1" t="s">
        <v>15</v>
      </c>
      <c r="C2" s="1" t="n">
        <f aca="false">0.31*70</f>
        <v>21.7</v>
      </c>
      <c r="D2" s="1" t="n">
        <v>0.31</v>
      </c>
      <c r="E2" s="2" t="n">
        <v>0.1</v>
      </c>
    </row>
    <row r="3" customFormat="false" ht="12.8" hidden="false" customHeight="false" outlineLevel="0" collapsed="false">
      <c r="A3" s="2" t="s">
        <v>14</v>
      </c>
      <c r="B3" s="2" t="s">
        <v>15</v>
      </c>
      <c r="C3" s="3" t="n">
        <f aca="false">'ELV_ICE-prd'!C$4*D3</f>
        <v>41.3</v>
      </c>
      <c r="D3" s="2" t="n">
        <v>0.59</v>
      </c>
      <c r="E3" s="2" t="n">
        <v>0.1</v>
      </c>
    </row>
    <row r="4" customFormat="false" ht="12.8" hidden="false" customHeight="false" outlineLevel="0" collapsed="false">
      <c r="A4" s="2" t="s">
        <v>18</v>
      </c>
      <c r="B4" s="2" t="s">
        <v>15</v>
      </c>
      <c r="C4" s="3" t="n">
        <f aca="false">'ELV_ICE-prd'!C$4*D4</f>
        <v>7</v>
      </c>
      <c r="D4" s="2" t="n">
        <v>0.1</v>
      </c>
      <c r="E4" s="2" t="n">
        <v>0.1</v>
      </c>
    </row>
    <row r="5" customFormat="false" ht="12.8" hidden="false" customHeight="false" outlineLevel="0" collapsed="false">
      <c r="A5" s="2" t="s">
        <v>13</v>
      </c>
      <c r="C5" s="2" t="n">
        <v>10</v>
      </c>
      <c r="D5" s="2" t="n">
        <f aca="false">SUM(D2:D4)</f>
        <v>1</v>
      </c>
    </row>
    <row r="6" customFormat="false" ht="12.8" hidden="false" customHeight="false" outlineLevel="0" collapsed="false">
      <c r="C6" s="3"/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  <row r="9" customFormat="false" ht="12.8" hidden="false" customHeight="false" outlineLevel="0" collapsed="false">
      <c r="C9" s="3"/>
    </row>
    <row r="10" customFormat="false" ht="12.8" hidden="false" customHeight="false" outlineLevel="0" collapsed="false">
      <c r="C10" s="3"/>
    </row>
    <row r="11" customFormat="false" ht="12.8" hidden="false" customHeight="false" outlineLevel="0" collapsed="false">
      <c r="C11" s="3"/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17</v>
      </c>
      <c r="B2" s="3" t="s">
        <v>15</v>
      </c>
      <c r="C2" s="3" t="n">
        <v>60.5</v>
      </c>
      <c r="D2" s="2" t="n">
        <v>1</v>
      </c>
      <c r="E2" s="2" t="n">
        <v>0</v>
      </c>
    </row>
    <row r="3" customFormat="false" ht="12.8" hidden="false" customHeight="false" outlineLevel="0" collapsed="false">
      <c r="A3" s="2" t="s">
        <v>13</v>
      </c>
      <c r="C3" s="3" t="n">
        <v>60.5</v>
      </c>
      <c r="D3" s="2" t="n">
        <f aca="false">SUM(D2:D2)</f>
        <v>1</v>
      </c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C5" s="3"/>
    </row>
    <row r="6" customFormat="false" ht="12.8" hidden="false" customHeight="false" outlineLevel="0" collapsed="false">
      <c r="C6" s="3"/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30</v>
      </c>
      <c r="B2" s="3" t="s">
        <v>15</v>
      </c>
      <c r="C2" s="3" t="n">
        <f aca="false">D2*$C$5</f>
        <v>60.9</v>
      </c>
      <c r="D2" s="2" t="n">
        <v>0.6</v>
      </c>
      <c r="E2" s="2" t="n">
        <v>0.1</v>
      </c>
    </row>
    <row r="3" customFormat="false" ht="12.8" hidden="false" customHeight="false" outlineLevel="0" collapsed="false">
      <c r="A3" s="3" t="s">
        <v>14</v>
      </c>
      <c r="B3" s="3" t="s">
        <v>15</v>
      </c>
      <c r="C3" s="3" t="n">
        <f aca="false">D3*$C$5</f>
        <v>20.3</v>
      </c>
      <c r="D3" s="2" t="n">
        <v>0.2</v>
      </c>
      <c r="E3" s="2" t="n">
        <v>0.1</v>
      </c>
    </row>
    <row r="4" customFormat="false" ht="12.8" hidden="false" customHeight="false" outlineLevel="0" collapsed="false">
      <c r="A4" s="3" t="s">
        <v>16</v>
      </c>
      <c r="B4" s="3" t="s">
        <v>15</v>
      </c>
      <c r="C4" s="3" t="n">
        <f aca="false">D4*$C$5</f>
        <v>20.3</v>
      </c>
      <c r="D4" s="2" t="n">
        <v>0.2</v>
      </c>
      <c r="E4" s="2" t="n">
        <v>0.1</v>
      </c>
    </row>
    <row r="5" customFormat="false" ht="12.8" hidden="false" customHeight="false" outlineLevel="0" collapsed="false">
      <c r="A5" s="2" t="s">
        <v>13</v>
      </c>
      <c r="C5" s="3" t="n">
        <v>101.5</v>
      </c>
      <c r="D5" s="2" t="n">
        <f aca="false">SUM(D2:D4)</f>
        <v>1</v>
      </c>
    </row>
    <row r="6" customFormat="false" ht="12.8" hidden="false" customHeight="false" outlineLevel="0" collapsed="false">
      <c r="C6" s="3"/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30</v>
      </c>
      <c r="B2" s="3" t="s">
        <v>15</v>
      </c>
      <c r="C2" s="3" t="n">
        <v>30.8</v>
      </c>
      <c r="D2" s="2" t="n">
        <v>1</v>
      </c>
      <c r="E2" s="2" t="n">
        <v>0</v>
      </c>
    </row>
    <row r="3" customFormat="false" ht="12.8" hidden="false" customHeight="false" outlineLevel="0" collapsed="false">
      <c r="A3" s="2" t="s">
        <v>13</v>
      </c>
      <c r="C3" s="3" t="n">
        <v>30.8</v>
      </c>
      <c r="D3" s="2" t="n">
        <f aca="false">SUM(D2:D2)</f>
        <v>1</v>
      </c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C5" s="3"/>
    </row>
    <row r="6" customFormat="false" ht="12.8" hidden="false" customHeight="false" outlineLevel="0" collapsed="false">
      <c r="C6" s="3"/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32</v>
      </c>
      <c r="B2" s="3" t="s">
        <v>33</v>
      </c>
      <c r="C2" s="3" t="n">
        <v>7</v>
      </c>
      <c r="D2" s="2" t="n">
        <v>1</v>
      </c>
      <c r="E2" s="2" t="n">
        <v>0.1</v>
      </c>
    </row>
    <row r="3" customFormat="false" ht="12.8" hidden="false" customHeight="false" outlineLevel="0" collapsed="false">
      <c r="A3" s="2" t="s">
        <v>13</v>
      </c>
      <c r="C3" s="3" t="n">
        <v>7</v>
      </c>
      <c r="D3" s="2" t="n">
        <f aca="false">SUM(D2:D2)</f>
        <v>1</v>
      </c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4.47"/>
    <col collapsed="false" customWidth="true" hidden="false" outlineLevel="0" max="4" min="2" style="2" width="16.69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27</v>
      </c>
      <c r="B2" s="3" t="s">
        <v>22</v>
      </c>
      <c r="C2" s="3" t="n">
        <v>18</v>
      </c>
      <c r="D2" s="2" t="n">
        <v>1</v>
      </c>
      <c r="E2" s="2" t="n">
        <v>0.1</v>
      </c>
    </row>
    <row r="3" customFormat="false" ht="12.8" hidden="false" customHeight="false" outlineLevel="0" collapsed="false">
      <c r="A3" s="2" t="s">
        <v>13</v>
      </c>
      <c r="C3" s="3" t="n">
        <v>18</v>
      </c>
      <c r="D3" s="2" t="n">
        <f aca="false">SUM(D2:D2)</f>
        <v>1</v>
      </c>
    </row>
  </sheetData>
  <autoFilter ref="A1:E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2023-07-18T11:56:10Z</dcterms:created>
  <dc:creator/>
  <dc:description/>
  <dc:language>en-GB</dc:language>
  <cp:lastModifiedBy/>
  <dcterms:modified xsi:type="dcterms:W3CDTF">2023-07-24T10:23:04Z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