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5.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4"/>
  </bookViews>
  <sheets>
    <sheet name="Note" sheetId="1" state="hidden" r:id="rId2"/>
    <sheet name="Intro" sheetId="2" state="visible" r:id="rId3"/>
    <sheet name="Diagram" sheetId="3" state="visible" r:id="rId4"/>
    <sheet name="Level1" sheetId="4" state="visible" r:id="rId5"/>
    <sheet name="Level2" sheetId="5" state="visible" r:id="rId6"/>
    <sheet name="Level3" sheetId="6" state="visible" r:id="rId7"/>
  </sheets>
  <definedNames>
    <definedName function="false" hidden="false" localSheetId="2" name="_xlnm.Print_Area" vbProcedure="false">Diagram!$A$2:$G$63</definedName>
    <definedName function="false" hidden="false" name="level1_dropdw" vbProcedure="false">Level1_process_list[level 1 processes]</definedName>
    <definedName function="false" hidden="false" name="level2_dropdw" vbProcedure="false">Level2_process_list[level 2 processes]</definedName>
    <definedName function="false" hidden="false" name="level3_dropdw" vbProcedure="false">Level3_process_list[level 3 processes (technology)]</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B9"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Add the hyperlink for the TC template.</t>
        </r>
      </text>
    </comment>
  </commentList>
</comments>
</file>

<file path=xl/comments5.xml><?xml version="1.0" encoding="utf-8"?>
<comments xmlns="http://schemas.openxmlformats.org/spreadsheetml/2006/main" xmlns:xdr="http://schemas.openxmlformats.org/drawingml/2006/spreadsheetDrawing">
  <authors>
    <author> </author>
  </authors>
  <commentList>
    <comment ref="C36" authorId="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reduction process for recovery ash may involve a combination of chemical and thermal processes. </t>
        </r>
      </text>
    </comment>
  </commentList>
</comments>
</file>

<file path=xl/sharedStrings.xml><?xml version="1.0" encoding="utf-8"?>
<sst xmlns="http://schemas.openxmlformats.org/spreadsheetml/2006/main" count="410" uniqueCount="300">
  <si>
    <r>
      <rPr>
        <b val="true"/>
        <sz val="11"/>
        <color rgb="FF000000"/>
        <rFont val="Calibri"/>
        <family val="2"/>
        <charset val="1"/>
      </rPr>
      <t xml:space="preserve">Processes</t>
    </r>
    <r>
      <rPr>
        <sz val="11"/>
        <color rgb="FF000000"/>
        <rFont val="Calibri"/>
        <family val="2"/>
        <charset val="1"/>
      </rPr>
      <t xml:space="preserve"> are more specific and represent the flow of activities within a particular domain.</t>
    </r>
  </si>
  <si>
    <r>
      <rPr>
        <b val="true"/>
        <sz val="11"/>
        <color rgb="FF000000"/>
        <rFont val="Calibri"/>
        <family val="2"/>
        <charset val="1"/>
      </rPr>
      <t xml:space="preserve">Technology</t>
    </r>
    <r>
      <rPr>
        <sz val="11"/>
        <color rgb="FF000000"/>
        <rFont val="Calibri"/>
        <family val="2"/>
        <charset val="1"/>
      </rPr>
      <t xml:space="preserve"> focuses on the tools and resources used to accomplish tasks</t>
    </r>
  </si>
  <si>
    <t xml:space="preserve">Mapping reference</t>
  </si>
  <si>
    <t xml:space="preserve">Datasheet</t>
  </si>
  <si>
    <t xml:space="preserve">Link</t>
  </si>
  <si>
    <t xml:space="preserve">check</t>
  </si>
  <si>
    <t xml:space="preserve">note</t>
  </si>
  <si>
    <t xml:space="preserve">Reptool</t>
  </si>
  <si>
    <t xml:space="preserve">sharepoint</t>
  </si>
  <si>
    <t xml:space="preserve">V</t>
  </si>
  <si>
    <t xml:space="preserve">discuss on Thur.</t>
  </si>
  <si>
    <t xml:space="preserve">ecoinvent 3.1.9</t>
  </si>
  <si>
    <t xml:space="preserve">use activity browser to check the treatment flows</t>
  </si>
  <si>
    <t xml:space="preserve">Mining waste_Second version Data Template_vGeoZS_conn_MIN4EU</t>
  </si>
  <si>
    <t xml:space="preserve">offline</t>
  </si>
  <si>
    <t xml:space="preserve">sharepoint_termporary version</t>
  </si>
  <si>
    <t xml:space="preserve">CDW flowchart</t>
  </si>
  <si>
    <t xml:space="preserve">miro</t>
  </si>
  <si>
    <t xml:space="preserve">ELV flowchart</t>
  </si>
  <si>
    <t xml:space="preserve">BATT flowchart</t>
  </si>
  <si>
    <t xml:space="preserve">pyrometallurgical processes
(BATT smelting, pyrolysis, roasting)</t>
  </si>
  <si>
    <t xml:space="preserve">WEEE flowchart</t>
  </si>
  <si>
    <t xml:space="preserve">SLASH flowchart</t>
  </si>
  <si>
    <t xml:space="preserve">In thr mechRP, shredding is separated from comminution.</t>
  </si>
  <si>
    <t xml:space="preserve">MINW flowchart</t>
  </si>
  <si>
    <r>
      <rPr>
        <sz val="11"/>
        <color rgb="FF000000"/>
        <rFont val="Calibri"/>
        <family val="2"/>
        <charset val="1"/>
      </rPr>
      <t xml:space="preserve">check where should put "</t>
    </r>
    <r>
      <rPr>
        <sz val="11"/>
        <color rgb="FFFF0000"/>
        <rFont val="Calibri"/>
        <family val="2"/>
        <charset val="1"/>
      </rPr>
      <t xml:space="preserve">bottom ash treatment</t>
    </r>
    <r>
      <rPr>
        <sz val="11"/>
        <color rgb="FF000000"/>
        <rFont val="Calibri"/>
        <family val="2"/>
        <charset val="1"/>
      </rPr>
      <t xml:space="preserve">"</t>
    </r>
  </si>
  <si>
    <t xml:space="preserve">Tales model logistic</t>
  </si>
  <si>
    <t xml:space="preserve">intro</t>
  </si>
  <si>
    <t xml:space="preserve">generic or specific (make example, crushing </t>
  </si>
  <si>
    <t xml:space="preserve">Project name</t>
  </si>
  <si>
    <t xml:space="preserve">FutuRaM</t>
  </si>
  <si>
    <t xml:space="preserve">File name</t>
  </si>
  <si>
    <t xml:space="preserve">FutuRaM_process_codelists_WP3</t>
  </si>
  <si>
    <t xml:space="preserve">Version history</t>
  </si>
  <si>
    <t xml:space="preserve">1th</t>
  </si>
  <si>
    <t xml:space="preserve">TUB, 17.07.2023</t>
  </si>
  <si>
    <t xml:space="preserve">Responsible </t>
  </si>
  <si>
    <t xml:space="preserve">Rebecca (Han-jung) Hu</t>
  </si>
  <si>
    <t xml:space="preserve">hu@tu-berlin.de</t>
  </si>
  <si>
    <t xml:space="preserve">Introdution</t>
  </si>
  <si>
    <t xml:space="preserve">Purpose</t>
  </si>
  <si>
    <t xml:space="preserve">The process/technology code ID in this codelist is used for the "transfer coefficients template". </t>
  </si>
  <si>
    <t xml:space="preserve">Sheet-Diagram</t>
  </si>
  <si>
    <t xml:space="preserve">An overview of all the processes.</t>
  </si>
  <si>
    <t xml:space="preserve">Sheet-Level 1</t>
  </si>
  <si>
    <t xml:space="preserve">General main processes for the waste streams, including production, distribution and usage, collection, preparation for reuse, recovery processes and disposal.</t>
  </si>
  <si>
    <t xml:space="preserve">Sheet-Level 2</t>
  </si>
  <si>
    <t xml:space="preserve">The processes are under the main processes (level 1).</t>
  </si>
  <si>
    <t xml:space="preserve">Sheet-Level 3</t>
  </si>
  <si>
    <t xml:space="preserve">The processes are under the sub processes (level 2), more refer to specific technologies.	</t>
  </si>
  <si>
    <t xml:space="preserve">Instructions on usage</t>
  </si>
  <si>
    <t xml:space="preserve">Sheets marked orange</t>
  </si>
  <si>
    <t xml:space="preserve">The codelists/code should only be changed/extended in consultation with the responsible person.</t>
  </si>
  <si>
    <t xml:space="preserve">Sheets marked green</t>
  </si>
  <si>
    <r>
      <rPr>
        <sz val="11"/>
        <rFont val="Calibri"/>
        <family val="2"/>
        <charset val="1"/>
      </rPr>
      <t xml:space="preserve">Everyone can add new codes to the list (level 3), changes in the existing codes should only be done in consultation with the responsible person.
</t>
    </r>
    <r>
      <rPr>
        <b val="true"/>
        <sz val="11"/>
        <rFont val="Calibri"/>
        <family val="2"/>
        <charset val="1"/>
      </rPr>
      <t xml:space="preserve">Naming convention:
</t>
    </r>
    <r>
      <rPr>
        <sz val="11"/>
        <rFont val="Calibri"/>
        <family val="2"/>
        <charset val="1"/>
      </rPr>
      <t xml:space="preserve">In the general situation, please pick "three characters" from the "process name" with uppercase letters as the code, then add "_" and the "level" at the end.
e.g. smelting-&gt;SME_L2
Note! No blanks should be used within the codes.</t>
    </r>
  </si>
  <si>
    <t xml:space="preserve">level1 (main) processes</t>
  </si>
  <si>
    <t xml:space="preserve">code</t>
  </si>
  <si>
    <t xml:space="preserve">description</t>
  </si>
  <si>
    <t xml:space="preserve">level 2 processes</t>
  </si>
  <si>
    <t xml:space="preserve">level 3 processes (technology)</t>
  </si>
  <si>
    <t xml:space="preserve">inspection</t>
  </si>
  <si>
    <t xml:space="preserve">reduction</t>
  </si>
  <si>
    <t xml:space="preserve">re-dissolution</t>
  </si>
  <si>
    <t xml:space="preserve">cementation</t>
  </si>
  <si>
    <t xml:space="preserve">chlorination</t>
  </si>
  <si>
    <t xml:space="preserve">level 1 processes</t>
  </si>
  <si>
    <t xml:space="preserve">code 1</t>
  </si>
  <si>
    <t xml:space="preserve">production</t>
  </si>
  <si>
    <t xml:space="preserve">PRO_L1</t>
  </si>
  <si>
    <t xml:space="preserve">The processes include smelting, refining, fabrication and manufacturing.</t>
  </si>
  <si>
    <t xml:space="preserve">distribution and usage</t>
  </si>
  <si>
    <t xml:space="preserve">DAU_L1</t>
  </si>
  <si>
    <t xml:space="preserve">The processes include the products put on the market and their usage.</t>
  </si>
  <si>
    <t xml:space="preserve">collection</t>
  </si>
  <si>
    <t xml:space="preserve">COL_L1</t>
  </si>
  <si>
    <t xml:space="preserve">The processes gather the generated waste.</t>
  </si>
  <si>
    <t xml:space="preserve">preparation for reuse</t>
  </si>
  <si>
    <t xml:space="preserve">PFR_L1</t>
  </si>
  <si>
    <t xml:space="preserve">The process checks whether the waste is reusable or not, then checks part of the waste is functional or not, and distributes it to the reuse stage.	 </t>
  </si>
  <si>
    <t xml:space="preserve">mechanical recovery processes</t>
  </si>
  <si>
    <t xml:space="preserve">MEC_L1</t>
  </si>
  <si>
    <t xml:space="preserve">The processes rely on physical comminution, separation, agglomeration, and mixing for recovery of the waste.	  </t>
  </si>
  <si>
    <t xml:space="preserve">biological recovery processes</t>
  </si>
  <si>
    <t xml:space="preserve">BIO_L1</t>
  </si>
  <si>
    <t xml:space="preserve">The processes use natural biological mechanisms for example aerobic or anaerobic treatments to break down or transform waste materials.</t>
  </si>
  <si>
    <t xml:space="preserve">thermal recovery processes</t>
  </si>
  <si>
    <t xml:space="preserve">THE_L1</t>
  </si>
  <si>
    <t xml:space="preserve">The processes involve the application of heat to treat or recover waste materials, for example incineration, pyrolysis and gasification.</t>
  </si>
  <si>
    <t xml:space="preserve">chemical recovery processes</t>
  </si>
  <si>
    <t xml:space="preserve">CHE_L1</t>
  </si>
  <si>
    <t xml:space="preserve">The processes use chemical reactions to transform waste materials or extract valuable components, for example, leaching, extraction, and distillation.</t>
  </si>
  <si>
    <t xml:space="preserve">disposal processes</t>
  </si>
  <si>
    <t xml:space="preserve">DIS_L1</t>
  </si>
  <si>
    <t xml:space="preserve">The process is the final step when waste materials cannot be effectively recovered or treated. </t>
  </si>
  <si>
    <t xml:space="preserve">code 2</t>
  </si>
  <si>
    <t xml:space="preserve">level1 processes</t>
  </si>
  <si>
    <t xml:space="preserve">smelting</t>
  </si>
  <si>
    <t xml:space="preserve">SME_L2</t>
  </si>
  <si>
    <t xml:space="preserve">The valuable materials are subjected to high temperatures to melt, separating them from the other components then be collected and further processed.</t>
  </si>
  <si>
    <t xml:space="preserve">The inputs are SRM mostly from CDW, WEEE and ELV mechanical recovery processes.</t>
  </si>
  <si>
    <t xml:space="preserve">refining</t>
  </si>
  <si>
    <t xml:space="preserve">REF_L2</t>
  </si>
  <si>
    <t xml:space="preserve">The process involves further purification, removal of impurities, or alloying to achieve the desired properties.</t>
  </si>
  <si>
    <t xml:space="preserve">fabrication and manufacturing</t>
  </si>
  <si>
    <t xml:space="preserve">FAM_L2</t>
  </si>
  <si>
    <t xml:space="preserve">Fabrication involves assembling parts or materials to create a product. Manufacturing includes fabrication, assembly, and other processes.</t>
  </si>
  <si>
    <t xml:space="preserve">construction</t>
  </si>
  <si>
    <t xml:space="preserve">CON_L2</t>
  </si>
  <si>
    <t xml:space="preserve">The activities and steps involved in building structures or infrastructure.</t>
  </si>
  <si>
    <t xml:space="preserve">usage</t>
  </si>
  <si>
    <t xml:space="preserve">USE_L2</t>
  </si>
  <si>
    <t xml:space="preserve">The usage activities include reuse and repair.</t>
  </si>
  <si>
    <t xml:space="preserve">dedicated collection</t>
  </si>
  <si>
    <t xml:space="preserve">DED_L2</t>
  </si>
  <si>
    <t xml:space="preserve">The specialized collection of specific waste streams or materials that require separate handling due to their unique characteristics or potential for recycling.</t>
  </si>
  <si>
    <t xml:space="preserve">BATT, WEEE flows</t>
  </si>
  <si>
    <t xml:space="preserve">complementary collection</t>
  </si>
  <si>
    <t xml:space="preserve">CPT_L2</t>
  </si>
  <si>
    <t xml:space="preserve">It is an additional collection process that complements the existing waste management system to address specific waste streams or materials that require separate handling or treatment (e.g.  hazardous materials, electronic waste, bulky items, construction and demolition waste).</t>
  </si>
  <si>
    <t xml:space="preserve">CDW collection separate</t>
  </si>
  <si>
    <t xml:space="preserve">CCS_L2</t>
  </si>
  <si>
    <t xml:space="preserve">After selective deconstruction and demolition waste, the collection is separated.</t>
  </si>
  <si>
    <t xml:space="preserve">CDW collection mix</t>
  </si>
  <si>
    <t xml:space="preserve">CCM_L2</t>
  </si>
  <si>
    <t xml:space="preserve">After the classical demolition (e.g. blasting, smashing), certain components might be removed beforehand, and the collection is mixed.</t>
  </si>
  <si>
    <t xml:space="preserve">categorizing</t>
  </si>
  <si>
    <t xml:space="preserve">CAT_L2</t>
  </si>
  <si>
    <t xml:space="preserve">The process to classify whether the waste item is reusable or not.	 </t>
  </si>
  <si>
    <t xml:space="preserve">INS_L2</t>
  </si>
  <si>
    <t xml:space="preserve">The process to examine the units of the waste item is functional or not.</t>
  </si>
  <si>
    <t xml:space="preserve">disassembling</t>
  </si>
  <si>
    <t xml:space="preserve">DIS_L2</t>
  </si>
  <si>
    <t xml:space="preserve">The process to remove functional units from the waste item.</t>
  </si>
  <si>
    <t xml:space="preserve">test and repair</t>
  </si>
  <si>
    <t xml:space="preserve">TAR_L2</t>
  </si>
  <si>
    <t xml:space="preserve">The process to test and repair the functional units.</t>
  </si>
  <si>
    <t xml:space="preserve">comminution</t>
  </si>
  <si>
    <t xml:space="preserve">COM_L2</t>
  </si>
  <si>
    <t xml:space="preserve">Refers to the process of reducing the size of waste materials through shredding, grinding, or crushing.</t>
  </si>
  <si>
    <t xml:space="preserve">separation</t>
  </si>
  <si>
    <t xml:space="preserve">SEP_L2</t>
  </si>
  <si>
    <t xml:space="preserve">Separation based on the waste properties such as size, shape, density, and magnetic properties, including such as mechanical sorting, screening, magnetic separation.  </t>
  </si>
  <si>
    <t xml:space="preserve">agglomeration</t>
  </si>
  <si>
    <t xml:space="preserve">AGG_L2</t>
  </si>
  <si>
    <t xml:space="preserve">Also known as pelletization or briquetting, involves compacting waste materials into larger units for improved handling and utilization.</t>
  </si>
  <si>
    <t xml:space="preserve">mixing</t>
  </si>
  <si>
    <t xml:space="preserve">MIX_L2</t>
  </si>
  <si>
    <t xml:space="preserve">The mechanical mixing of powder containing two or multiple different components, that is needed to be mixed, in a high-speed mixer or in a ball mill.</t>
  </si>
  <si>
    <t xml:space="preserve">aerobic</t>
  </si>
  <si>
    <t xml:space="preserve">AER_L2</t>
  </si>
  <si>
    <t xml:space="preserve">The use of microorganisms that require oxygen to decompose and transform organic waste materials into simpler and more stable compounds. </t>
  </si>
  <si>
    <t xml:space="preserve">anaerobic</t>
  </si>
  <si>
    <t xml:space="preserve">ANAER_L2</t>
  </si>
  <si>
    <t xml:space="preserve">The use of microorganisms that can decompose organic waste materials in the absence of oxygen. </t>
  </si>
  <si>
    <t xml:space="preserve">bioleaching</t>
  </si>
  <si>
    <t xml:space="preserve">BLEA_L2</t>
  </si>
  <si>
    <t xml:space="preserve">The use of specific bacteria or fungi to catalyze chemical reactions that dissolve and recover metals from solid materials. </t>
  </si>
  <si>
    <t xml:space="preserve">drying</t>
  </si>
  <si>
    <t xml:space="preserve">DRY_L2</t>
  </si>
  <si>
    <t xml:space="preserve">The process removes moisture or water content from a material through the application of heat.</t>
  </si>
  <si>
    <t xml:space="preserve">incineration for recovery</t>
  </si>
  <si>
    <t xml:space="preserve">INCREC_L2</t>
  </si>
  <si>
    <t xml:space="preserve">Converting solid waste into energy, heat, or other valuable by-products. </t>
  </si>
  <si>
    <t xml:space="preserve">gasification</t>
  </si>
  <si>
    <t xml:space="preserve">GAS_L2</t>
  </si>
  <si>
    <t xml:space="preserve">Converting carbonaceous materials, such as biomass, coal, or waste, into a valuable synthesis gas (syngas) composed primarily of hydrogen (H2) and carbon monoxide (CO). </t>
  </si>
  <si>
    <t xml:space="preserve">pyrolysis</t>
  </si>
  <si>
    <t xml:space="preserve">PYR_L2</t>
  </si>
  <si>
    <t xml:space="preserve">Converting organic materials, such as biomass or waste, into a mixture of solid, liquid, and gas products in the absence of oxygen.</t>
  </si>
  <si>
    <t xml:space="preserve">BATTsmelting</t>
  </si>
  <si>
    <t xml:space="preserve">BATTS_L2</t>
  </si>
  <si>
    <t xml:space="preserve">The high-temperature treatment of the batteries to extract valuable metals, such as lead and other metallic components.</t>
  </si>
  <si>
    <t xml:space="preserve">BATT</t>
  </si>
  <si>
    <t xml:space="preserve">roasting</t>
  </si>
  <si>
    <t xml:space="preserve">ROA_L2</t>
  </si>
  <si>
    <t xml:space="preserve">Heating the material to a specific temperature range, which causes various chemical reactions, such as oxidation, volatilization, or phase transformations, leading to the desired recovery of valuable components.</t>
  </si>
  <si>
    <t xml:space="preserve">vaporization</t>
  </si>
  <si>
    <t xml:space="preserve">VAP_L2</t>
  </si>
  <si>
    <t xml:space="preserve">The stage to pure the black mass (the mixture of electrode materials, including carbon black, binders, and active materials) by the conversion of a substance from a liquid or solid state to a gaseous state.</t>
  </si>
  <si>
    <t xml:space="preserve">vacuum furnace</t>
  </si>
  <si>
    <t xml:space="preserve">VAF_L2</t>
  </si>
  <si>
    <t xml:space="preserve">A process for controlled heating processes under low-pressure or vacuum conditions. It is commonly used for various heat treatment applications such as annealing, brazing, sintering, and tempering of metals.</t>
  </si>
  <si>
    <t xml:space="preserve">leaching</t>
  </si>
  <si>
    <t xml:space="preserve">LEA_L2</t>
  </si>
  <si>
    <t xml:space="preserve">The use of a solvent to dissolve valuable components from the waste material. </t>
  </si>
  <si>
    <t xml:space="preserve">extraction</t>
  </si>
  <si>
    <t xml:space="preserve">EXT_L2</t>
  </si>
  <si>
    <t xml:space="preserve">It is similar to leaching, but the solvent selectively dissolves the desired compound, allowing it to be separated from the remaining waste or other unwanted compounds.</t>
  </si>
  <si>
    <t xml:space="preserve">distillation</t>
  </si>
  <si>
    <t xml:space="preserve">DIST_L2</t>
  </si>
  <si>
    <t xml:space="preserve">A process that involves the separation of different components in a mixture based on their boiling points. </t>
  </si>
  <si>
    <t xml:space="preserve">precipitation</t>
  </si>
  <si>
    <t xml:space="preserve">PRE_L2</t>
  </si>
  <si>
    <t xml:space="preserve">A process that involves the formation of solid particles in a solution. It is used in waste chemical recovery to selectively separate and recover specific compounds from a solution.</t>
  </si>
  <si>
    <t xml:space="preserve">conditioning</t>
  </si>
  <si>
    <t xml:space="preserve">COD_L2</t>
  </si>
  <si>
    <t xml:space="preserve">The preparation or treatment of the waste material to make it more suitable for subsequent processing steps.</t>
  </si>
  <si>
    <t xml:space="preserve">electrolysis </t>
  </si>
  <si>
    <t xml:space="preserve">ELE_L2</t>
  </si>
  <si>
    <t xml:space="preserve">A process uses an electric current to recover metals or transform compounds.</t>
  </si>
  <si>
    <t xml:space="preserve">RED_L2</t>
  </si>
  <si>
    <t xml:space="preserve">The use of chemical agents or compounds to facilitate the reduction of metal oxides present in the ash. </t>
  </si>
  <si>
    <t xml:space="preserve">SLASH</t>
  </si>
  <si>
    <t xml:space="preserve">RDIS_L2</t>
  </si>
  <si>
    <t xml:space="preserve">Treating the reduced ash with suitable chemicals or leaching agents to selectively dissolve the desired metals while minimizing the dissolution of unwanted components.</t>
  </si>
  <si>
    <t xml:space="preserve">CEM_L2</t>
  </si>
  <si>
    <t xml:space="preserve">A metal ion is reduced and deposited onto a solid metal surface, known as the cementing agent, through a redox reaction. Whereas in traditional precipitation processes, the solid phase is formed independently in the solution.</t>
  </si>
  <si>
    <t xml:space="preserve">CHL_L2</t>
  </si>
  <si>
    <t xml:space="preserve">Treating the metal-rich solution with chlorine to form metal chlorides for subsequent separation and processing.</t>
  </si>
  <si>
    <t xml:space="preserve">landfilling</t>
  </si>
  <si>
    <t xml:space="preserve">LAN_L2</t>
  </si>
  <si>
    <t xml:space="preserve">Burying waste in designated areas for disposal.</t>
  </si>
  <si>
    <t xml:space="preserve">neutralization for landfills</t>
  </si>
  <si>
    <t xml:space="preserve">NFL_L2</t>
  </si>
  <si>
    <t xml:space="preserve">Treating acidic leachate (liquid produced from decomposing waste) to adjust its pH towards a neutral level.</t>
  </si>
  <si>
    <t xml:space="preserve">incineration for disposal</t>
  </si>
  <si>
    <t xml:space="preserve">INCDIS_L2</t>
  </si>
  <si>
    <t xml:space="preserve">The controlled burning of waste to reduce volume and produce ash, gas, and heat.</t>
  </si>
  <si>
    <t xml:space="preserve">interim storage</t>
  </si>
  <si>
    <t xml:space="preserve">ITS_L2</t>
  </si>
  <si>
    <t xml:space="preserve">The temporary containment or storage of waste materials before they are further processed or disposed of. </t>
  </si>
  <si>
    <t xml:space="preserve">testing added row kirsten</t>
  </si>
  <si>
    <t xml:space="preserve">test_process_stewart</t>
  </si>
  <si>
    <t xml:space="preserve">TEST_SM</t>
  </si>
  <si>
    <t xml:space="preserve">code 3</t>
  </si>
  <si>
    <t xml:space="preserve">aluminium smelting</t>
  </si>
  <si>
    <t xml:space="preserve">AIS_L3</t>
  </si>
  <si>
    <t xml:space="preserve">The process of recycling aluminum scrap and waste materials to extract aluminum metal.</t>
  </si>
  <si>
    <t xml:space="preserve">iron smelting</t>
  </si>
  <si>
    <t xml:space="preserve">FeS_L3</t>
  </si>
  <si>
    <t xml:space="preserve">The process of recycling iron scrap and waste materials to extract iron metal.</t>
  </si>
  <si>
    <t xml:space="preserve">integrated copper smelting</t>
  </si>
  <si>
    <t xml:space="preserve">INTCuS_L3</t>
  </si>
  <si>
    <t xml:space="preserve">The process involves the extraction of copper from sulfide ores in a single facility</t>
  </si>
  <si>
    <t xml:space="preserve">standard copper smelting</t>
  </si>
  <si>
    <t xml:space="preserve">STACuS_L3</t>
  </si>
  <si>
    <t xml:space="preserve">The process focuses on recycling and processing copper-containing materials without the need for mining and beneficiation.</t>
  </si>
  <si>
    <t xml:space="preserve">lead smelting</t>
  </si>
  <si>
    <t xml:space="preserve">PbS_L3</t>
  </si>
  <si>
    <t xml:space="preserve">The process of recycling lead scrap and waste materials to extract lead metal.</t>
  </si>
  <si>
    <t xml:space="preserve">shredding</t>
  </si>
  <si>
    <t xml:space="preserve">SHR_L3</t>
  </si>
  <si>
    <t xml:space="preserve">Breaking waste materials into smaller strips.</t>
  </si>
  <si>
    <t xml:space="preserve">grinding</t>
  </si>
  <si>
    <t xml:space="preserve">GRI_L3</t>
  </si>
  <si>
    <t xml:space="preserve">Reducing waste into fine particles or powders.</t>
  </si>
  <si>
    <t xml:space="preserve">cutting</t>
  </si>
  <si>
    <t xml:space="preserve">CUT_L3</t>
  </si>
  <si>
    <t xml:space="preserve">Separating waste along a specific path.</t>
  </si>
  <si>
    <t xml:space="preserve">crushing</t>
  </si>
  <si>
    <t xml:space="preserve">CRU_L3</t>
  </si>
  <si>
    <t xml:space="preserve">Compressing waste to reduce size or alter its physical structure.</t>
  </si>
  <si>
    <t xml:space="preserve">dismantling</t>
  </si>
  <si>
    <t xml:space="preserve">DIS_L3</t>
  </si>
  <si>
    <t xml:space="preserve">The systematic disassembly of electronic devices or equipment into their individual components or parts.</t>
  </si>
  <si>
    <t xml:space="preserve">WEEE</t>
  </si>
  <si>
    <t xml:space="preserve">depollution</t>
  </si>
  <si>
    <t xml:space="preserve">DEP_L3</t>
  </si>
  <si>
    <t xml:space="preserve">The process of removing hazardous substances or pollutants from WEEE before further processing or disposal.</t>
  </si>
  <si>
    <t xml:space="preserve">WEEE, BATT</t>
  </si>
  <si>
    <t xml:space="preserve">coating removal</t>
  </si>
  <si>
    <t xml:space="preserve">COR_L3</t>
  </si>
  <si>
    <t xml:space="preserve">The process of stripping or removing protective coatings from electronic components or surfaces.</t>
  </si>
  <si>
    <t xml:space="preserve">emptying</t>
  </si>
  <si>
    <t xml:space="preserve">EMP_L3</t>
  </si>
  <si>
    <t xml:space="preserve">The removal of any remaining contents or substances from the battery before it undergoes further processing.</t>
  </si>
  <si>
    <t xml:space="preserve">sieving</t>
  </si>
  <si>
    <t xml:space="preserve">SIE_L3</t>
  </si>
  <si>
    <t xml:space="preserve">The process of separating solid waste materials by passing them through a sieve or mesh with different-sized openings. AKA screening.</t>
  </si>
  <si>
    <t xml:space="preserve">manual sorting</t>
  </si>
  <si>
    <t xml:space="preserve">MAS_L3</t>
  </si>
  <si>
    <t xml:space="preserve">The process involves the visual inspection and hand-picking of waste materials by workers. Examine and separate the waste based on specific criteria such as material type, color, shape, or composition.</t>
  </si>
  <si>
    <t xml:space="preserve">flotation</t>
  </si>
  <si>
    <t xml:space="preserve">FLO_L3</t>
  </si>
  <si>
    <t xml:space="preserve">A process based on density property to separate materials with low-density differences, such as plastics from mixed waste streams.</t>
  </si>
  <si>
    <t xml:space="preserve">sedimentation</t>
  </si>
  <si>
    <t xml:space="preserve">SED_L3</t>
  </si>
  <si>
    <t xml:space="preserve">A process based on the principle of gravity settling, where waste particles settle out of a liquid or slurry due to their different densities. </t>
  </si>
  <si>
    <t xml:space="preserve">air classification</t>
  </si>
  <si>
    <t xml:space="preserve">AIC_L3</t>
  </si>
  <si>
    <t xml:space="preserve">A process used to separate waste materials based on their particle size and density using air currents. Air classification is effective in separating materials with varying particle sizes.</t>
  </si>
  <si>
    <t xml:space="preserve">magnetic separation</t>
  </si>
  <si>
    <t xml:space="preserve">MAGS_L3</t>
  </si>
  <si>
    <t xml:space="preserve">Using magnets to separate ferrous (magnetic) materials such as iron and steel from non-ferrous materials.</t>
  </si>
  <si>
    <t xml:space="preserve">eddy current separation</t>
  </si>
  <si>
    <t xml:space="preserve">ECS_L3</t>
  </si>
  <si>
    <t xml:space="preserve">Focusing specifically on separating non-ferrous metals such as aluminum and copper using the principles of electromagnetic induction.</t>
  </si>
  <si>
    <t xml:space="preserve">electrostatic separation</t>
  </si>
  <si>
    <t xml:space="preserve">ESS_L3</t>
  </si>
  <si>
    <t xml:space="preserve">Using the electrical conductivity or electrostatic properties to separate a wide range of materials. It is applied to various materials such as plastics, metals, minerals, and electronic waste.</t>
  </si>
  <si>
    <t xml:space="preserve">Near InfraRed spectroscopy</t>
  </si>
  <si>
    <t xml:space="preserve">NIRS_L3</t>
  </si>
  <si>
    <t xml:space="preserve">Analyzing the chemical composition of materials based on their interaction with near-infrared light.</t>
  </si>
  <si>
    <t xml:space="preserve">Laser Induced Breakdown Spectroscopy</t>
  </si>
  <si>
    <t xml:space="preserve">LIBS_L3</t>
  </si>
  <si>
    <t xml:space="preserve">Determining the elemental composition of a sample by analyzing the light emitted during the laser-induced plasma formation. </t>
  </si>
  <si>
    <t xml:space="preserve">X-ray fluorescence</t>
  </si>
  <si>
    <t xml:space="preserve">XRF_L3</t>
  </si>
  <si>
    <t xml:space="preserve">Determining the elemental composition of a material by measuring characteristic X-ray emissions.</t>
  </si>
  <si>
    <t xml:space="preserve">Add process or technology here</t>
  </si>
</sst>
</file>

<file path=xl/styles.xml><?xml version="1.0" encoding="utf-8"?>
<styleSheet xmlns="http://schemas.openxmlformats.org/spreadsheetml/2006/main">
  <numFmts count="2">
    <numFmt numFmtId="164" formatCode="General"/>
    <numFmt numFmtId="165" formatCode="General"/>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u val="single"/>
      <sz val="11"/>
      <color rgb="FF0563C1"/>
      <name val="Calibri"/>
      <family val="2"/>
      <charset val="1"/>
    </font>
    <font>
      <sz val="11"/>
      <name val="Calibri"/>
      <family val="2"/>
      <charset val="1"/>
    </font>
    <font>
      <sz val="11"/>
      <color rgb="FFFF0000"/>
      <name val="Calibri"/>
      <family val="2"/>
      <charset val="1"/>
    </font>
    <font>
      <b val="true"/>
      <sz val="11"/>
      <name val="Calibri"/>
      <family val="2"/>
      <charset val="1"/>
    </font>
    <font>
      <sz val="11"/>
      <color rgb="FFFFFFFF"/>
      <name val="Calibri"/>
      <family val="2"/>
      <charset val="1"/>
    </font>
    <font>
      <b val="true"/>
      <sz val="11"/>
      <color rgb="FFFFFFFF"/>
      <name val="Calibri"/>
      <family val="2"/>
      <charset val="1"/>
    </font>
  </fonts>
  <fills count="14">
    <fill>
      <patternFill patternType="none"/>
    </fill>
    <fill>
      <patternFill patternType="gray125"/>
    </fill>
    <fill>
      <patternFill patternType="solid">
        <fgColor rgb="FFC5E0B4"/>
        <bgColor rgb="FFA9D18E"/>
      </patternFill>
    </fill>
    <fill>
      <patternFill patternType="solid">
        <fgColor rgb="FFFFC000"/>
        <bgColor rgb="FFFF9900"/>
      </patternFill>
    </fill>
    <fill>
      <patternFill patternType="solid">
        <fgColor rgb="FF92D050"/>
        <bgColor rgb="FFA9D18E"/>
      </patternFill>
    </fill>
    <fill>
      <patternFill patternType="solid">
        <fgColor rgb="FF375623"/>
        <bgColor rgb="FF333300"/>
      </patternFill>
    </fill>
    <fill>
      <patternFill patternType="solid">
        <fgColor rgb="FFC55A11"/>
        <bgColor rgb="FFED7D31"/>
      </patternFill>
    </fill>
    <fill>
      <patternFill patternType="solid">
        <fgColor rgb="FF8FAADC"/>
        <bgColor rgb="FF99CCFF"/>
      </patternFill>
    </fill>
    <fill>
      <patternFill patternType="solid">
        <fgColor rgb="FF548235"/>
        <bgColor rgb="FF339966"/>
      </patternFill>
    </fill>
    <fill>
      <patternFill patternType="solid">
        <fgColor rgb="FF70AD47"/>
        <bgColor rgb="FF92D050"/>
      </patternFill>
    </fill>
    <fill>
      <patternFill patternType="solid">
        <fgColor rgb="FFE2F0DB"/>
        <bgColor rgb="FFE2F0D9"/>
      </patternFill>
    </fill>
    <fill>
      <patternFill patternType="solid">
        <fgColor rgb="FFE2F0D9"/>
        <bgColor rgb="FFE2F0DB"/>
      </patternFill>
    </fill>
    <fill>
      <patternFill patternType="solid">
        <fgColor rgb="FFA9D18E"/>
        <bgColor rgb="FFC5E0B4"/>
      </patternFill>
    </fill>
    <fill>
      <patternFill patternType="solid">
        <fgColor rgb="FFF4B183"/>
        <bgColor rgb="FFFF99CC"/>
      </patternFill>
    </fill>
  </fills>
  <borders count="2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style="thin">
        <color rgb="FF8FAADC"/>
      </right>
      <top style="thin">
        <color rgb="FF8FAADC"/>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color rgb="FF8FAADC"/>
      </top>
      <bottom style="thin">
        <color rgb="FF8FAADC"/>
      </bottom>
      <diagonal/>
    </border>
    <border diagonalUp="false" diagonalDown="false">
      <left/>
      <right style="thin">
        <color rgb="FF8FAADC"/>
      </right>
      <top style="thin">
        <color rgb="FF8FAADC"/>
      </top>
      <bottom style="thin">
        <color rgb="FF8FAA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0" borderId="5" xfId="2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false" indent="0" shrinkToFit="false"/>
      <protection locked="true" hidden="false"/>
    </xf>
    <xf numFmtId="164" fontId="4" fillId="0" borderId="4"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fals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0" fillId="0" borderId="8"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4" fillId="0" borderId="9" xfId="0" applyFont="true" applyBorder="true" applyAlignment="true" applyProtection="false">
      <alignment horizontal="general" vertical="top" textRotation="0" wrapText="false" indent="0" shrinkToFit="false"/>
      <protection locked="true" hidden="false"/>
    </xf>
    <xf numFmtId="164" fontId="0" fillId="0" borderId="10" xfId="0" applyFont="true" applyBorder="true" applyAlignment="true" applyProtection="false">
      <alignment horizontal="general" vertical="top" textRotation="0" wrapText="true" indent="0" shrinkToFit="false"/>
      <protection locked="true" hidden="false"/>
    </xf>
    <xf numFmtId="164" fontId="5" fillId="0" borderId="11" xfId="20" applyFont="true" applyBorder="tru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0" fillId="3" borderId="4" xfId="0" applyFont="true" applyBorder="true" applyAlignment="true" applyProtection="false">
      <alignment horizontal="general" vertical="top" textRotation="0" wrapText="fals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4" borderId="6" xfId="0" applyFont="true" applyBorder="true" applyAlignment="true" applyProtection="false">
      <alignment horizontal="general" vertical="top" textRotation="0" wrapText="false" indent="0" shrinkToFit="false"/>
      <protection locked="true" hidden="false"/>
    </xf>
    <xf numFmtId="164" fontId="0" fillId="0" borderId="8"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3" xfId="0" applyFont="true" applyBorder="true" applyAlignment="true" applyProtection="false">
      <alignment horizontal="center" vertical="top" textRotation="0" wrapText="true" indent="0" shrinkToFit="false"/>
      <protection locked="true" hidden="false"/>
    </xf>
    <xf numFmtId="164" fontId="6" fillId="0" borderId="8"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false" indent="0" shrinkToFit="false"/>
      <protection locked="true" hidden="false"/>
    </xf>
    <xf numFmtId="164" fontId="9" fillId="6" borderId="0" xfId="0" applyFont="true" applyBorder="false" applyAlignment="true" applyProtection="false">
      <alignment horizontal="general" vertical="top" textRotation="0" wrapText="false" indent="0" shrinkToFit="false"/>
      <protection locked="true" hidden="false"/>
    </xf>
    <xf numFmtId="164" fontId="10" fillId="7" borderId="12" xfId="0" applyFont="true" applyBorder="true" applyAlignment="true" applyProtection="false">
      <alignment horizontal="general" vertical="top" textRotation="0" wrapText="true" indent="0" shrinkToFit="false"/>
      <protection locked="true" hidden="false"/>
    </xf>
    <xf numFmtId="164" fontId="9" fillId="8"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false" applyAlignment="true" applyProtection="false">
      <alignment horizontal="general" vertical="top" textRotation="0" wrapText="false" indent="0" shrinkToFit="false"/>
      <protection locked="true" hidden="false"/>
    </xf>
    <xf numFmtId="165" fontId="0" fillId="10" borderId="13" xfId="0" applyFont="false" applyBorder="true" applyAlignment="true" applyProtection="false">
      <alignment horizontal="general" vertical="top" textRotation="0" wrapText="false" indent="0" shrinkToFit="false"/>
      <protection locked="true" hidden="false"/>
    </xf>
    <xf numFmtId="165" fontId="0" fillId="0" borderId="13" xfId="0" applyFont="false" applyBorder="true" applyAlignment="true" applyProtection="false">
      <alignment horizontal="general" vertical="top" textRotation="0" wrapText="false" indent="0" shrinkToFit="false"/>
      <protection locked="true" hidden="false"/>
    </xf>
    <xf numFmtId="165" fontId="0" fillId="0" borderId="14" xfId="0" applyFont="false" applyBorder="true" applyAlignment="true" applyProtection="false">
      <alignment horizontal="general" vertical="top" textRotation="0" wrapText="true" indent="0" shrinkToFit="false"/>
      <protection locked="true" hidden="false"/>
    </xf>
    <xf numFmtId="165" fontId="0" fillId="10" borderId="14" xfId="0" applyFont="false" applyBorder="true" applyAlignment="true" applyProtection="false">
      <alignment horizontal="general" vertical="top" textRotation="0" wrapText="false" indent="0" shrinkToFit="false"/>
      <protection locked="true" hidden="false"/>
    </xf>
    <xf numFmtId="165" fontId="0" fillId="0" borderId="15" xfId="0" applyFont="false" applyBorder="true" applyAlignment="true" applyProtection="false">
      <alignment horizontal="general"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0" fillId="10" borderId="16" xfId="0" applyFont="false" applyBorder="true" applyAlignment="true" applyProtection="false">
      <alignment horizontal="general" vertical="top" textRotation="0" wrapText="false" indent="0" shrinkToFit="false"/>
      <protection locked="true" hidden="false"/>
    </xf>
    <xf numFmtId="165" fontId="0" fillId="0" borderId="14" xfId="0" applyFont="false" applyBorder="true" applyAlignment="true" applyProtection="false">
      <alignment horizontal="general" vertical="top" textRotation="0" wrapText="false" indent="0" shrinkToFit="false"/>
      <protection locked="true" hidden="false"/>
    </xf>
    <xf numFmtId="165" fontId="0" fillId="0" borderId="17" xfId="0" applyFont="false" applyBorder="true" applyAlignment="true" applyProtection="false">
      <alignment horizontal="general" vertical="top" textRotation="0" wrapText="false" indent="0" shrinkToFit="false"/>
      <protection locked="true" hidden="false"/>
    </xf>
    <xf numFmtId="165" fontId="0" fillId="0" borderId="13" xfId="0" applyFont="false" applyBorder="true" applyAlignment="true" applyProtection="false">
      <alignment horizontal="general" vertical="top" textRotation="0" wrapText="true" indent="0" shrinkToFit="false"/>
      <protection locked="true" hidden="false"/>
    </xf>
    <xf numFmtId="165" fontId="0" fillId="10" borderId="18" xfId="0" applyFont="fals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10" borderId="14" xfId="0" applyFont="true" applyBorder="true" applyAlignment="true" applyProtection="false">
      <alignment horizontal="general" vertical="top" textRotation="0" wrapText="false" indent="0" shrinkToFit="false"/>
      <protection locked="true" hidden="false"/>
    </xf>
    <xf numFmtId="165" fontId="6" fillId="10" borderId="13" xfId="0" applyFont="true" applyBorder="true" applyAlignment="true" applyProtection="false">
      <alignment horizontal="general" vertical="top" textRotation="0" wrapText="false" indent="0" shrinkToFit="false"/>
      <protection locked="true" hidden="false"/>
    </xf>
    <xf numFmtId="165" fontId="0" fillId="11" borderId="13" xfId="0" applyFont="false" applyBorder="true" applyAlignment="true" applyProtection="false">
      <alignment horizontal="general" vertical="top" textRotation="0" wrapText="false" indent="0" shrinkToFit="false"/>
      <protection locked="true" hidden="false"/>
    </xf>
    <xf numFmtId="165" fontId="6" fillId="11" borderId="14" xfId="0" applyFont="true" applyBorder="true" applyAlignment="true" applyProtection="false">
      <alignment horizontal="left"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false" indent="0" shrinkToFit="false"/>
      <protection locked="true" hidden="false"/>
    </xf>
    <xf numFmtId="165" fontId="6" fillId="0" borderId="0" xfId="0" applyFont="true" applyBorder="true" applyAlignment="true" applyProtection="false">
      <alignment horizontal="left" vertical="top" textRotation="0" wrapText="true" indent="0" shrinkToFit="false"/>
      <protection locked="true" hidden="false"/>
    </xf>
    <xf numFmtId="165" fontId="0" fillId="11" borderId="14" xfId="0" applyFont="false" applyBorder="true" applyAlignment="true" applyProtection="false">
      <alignment horizontal="general" vertical="top" textRotation="0" wrapText="false" indent="0" shrinkToFit="false"/>
      <protection locked="true" hidden="false"/>
    </xf>
    <xf numFmtId="165" fontId="6" fillId="10" borderId="14" xfId="0" applyFont="true" applyBorder="true" applyAlignment="true" applyProtection="false">
      <alignment horizontal="left" vertical="top" textRotation="0" wrapText="false" indent="0" shrinkToFit="false"/>
      <protection locked="true" hidden="false"/>
    </xf>
    <xf numFmtId="165" fontId="6" fillId="0" borderId="0" xfId="0" applyFont="true" applyBorder="tru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true" indent="0" shrinkToFit="false"/>
      <protection locked="true" hidden="false"/>
    </xf>
    <xf numFmtId="165" fontId="6" fillId="11" borderId="13" xfId="0" applyFont="true" applyBorder="true" applyAlignment="true" applyProtection="false">
      <alignment horizontal="left" vertical="top" textRotation="0" wrapText="false" indent="0" shrinkToFit="false"/>
      <protection locked="true" hidden="false"/>
    </xf>
    <xf numFmtId="165" fontId="0" fillId="10" borderId="14" xfId="0" applyFont="false" applyBorder="true" applyAlignment="true" applyProtection="false">
      <alignment horizontal="left" vertical="top" textRotation="0" wrapText="false" indent="0" shrinkToFit="false"/>
      <protection locked="true" hidden="false"/>
    </xf>
    <xf numFmtId="164" fontId="0" fillId="0" borderId="18" xfId="0" applyFont="false" applyBorder="true" applyAlignment="true" applyProtection="false">
      <alignment horizontal="general" vertical="top" textRotation="0" wrapText="false" indent="0" shrinkToFit="false"/>
      <protection locked="true" hidden="false"/>
    </xf>
    <xf numFmtId="164" fontId="0" fillId="0" borderId="18" xfId="0" applyFont="false" applyBorder="true" applyAlignment="true" applyProtection="false">
      <alignment horizontal="general" vertical="top" textRotation="0" wrapText="true" indent="0" shrinkToFit="false"/>
      <protection locked="true" hidden="false"/>
    </xf>
    <xf numFmtId="164" fontId="0" fillId="0" borderId="14"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xf numFmtId="164" fontId="9" fillId="12" borderId="0" xfId="0" applyFont="true" applyBorder="false" applyAlignment="true" applyProtection="false">
      <alignment horizontal="general" vertical="top" textRotation="0" wrapText="false" indent="0" shrinkToFit="false"/>
      <protection locked="true" hidden="false"/>
    </xf>
    <xf numFmtId="164" fontId="9" fillId="1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8" borderId="19" xfId="0" applyFont="true" applyBorder="true" applyAlignment="false" applyProtection="false">
      <alignment horizontal="general" vertical="bottom" textRotation="0" wrapText="false" indent="0" shrinkToFit="false"/>
      <protection locked="true" hidden="false"/>
    </xf>
    <xf numFmtId="164" fontId="10" fillId="12" borderId="19" xfId="0" applyFont="true" applyBorder="true" applyAlignment="false" applyProtection="false">
      <alignment horizontal="general" vertical="bottom" textRotation="0" wrapText="false" indent="0" shrinkToFit="false"/>
      <protection locked="true" hidden="false"/>
    </xf>
    <xf numFmtId="164" fontId="10" fillId="13" borderId="19" xfId="0" applyFont="true" applyBorder="true" applyAlignment="false" applyProtection="false">
      <alignment horizontal="general" vertical="bottom" textRotation="0" wrapText="false" indent="0" shrinkToFit="false"/>
      <protection locked="true" hidden="false"/>
    </xf>
    <xf numFmtId="164" fontId="10" fillId="13" borderId="2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9">
    <dxf>
      <fill>
        <patternFill patternType="solid">
          <fgColor rgb="FF548235"/>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
      <fill>
        <patternFill patternType="solid">
          <fgColor rgb="FFC55A11"/>
        </patternFill>
      </fill>
    </dxf>
    <dxf>
      <fill>
        <patternFill patternType="solid">
          <fgColor rgb="FF8FAADC"/>
        </patternFill>
      </fill>
    </dxf>
    <dxf>
      <fill>
        <patternFill patternType="solid">
          <fgColor rgb="FFA9D18E"/>
        </patternFill>
      </fill>
    </dxf>
    <dxf>
      <fill>
        <patternFill patternType="solid">
          <fgColor rgb="FFF4B183"/>
        </patternFill>
      </fill>
    </dxf>
    <dxf>
      <fill>
        <patternFill patternType="solid">
          <f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A9D18E"/>
      <rgbColor rgb="FF808080"/>
      <rgbColor rgb="FF8FAADC"/>
      <rgbColor rgb="FF993366"/>
      <rgbColor rgb="FFE2F0DB"/>
      <rgbColor rgb="FFCCFFFF"/>
      <rgbColor rgb="FF660066"/>
      <rgbColor rgb="FFFF8080"/>
      <rgbColor rgb="FF0563C1"/>
      <rgbColor rgb="FFC5E0B4"/>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B183"/>
      <rgbColor rgb="FF3366FF"/>
      <rgbColor rgb="FF33CCCC"/>
      <rgbColor rgb="FF92D050"/>
      <rgbColor rgb="FFFFC000"/>
      <rgbColor rgb="FFFF9900"/>
      <rgbColor rgb="FFED7D31"/>
      <rgbColor rgb="FF666699"/>
      <rgbColor rgb="FF70AD47"/>
      <rgbColor rgb="FF003366"/>
      <rgbColor rgb="FF339966"/>
      <rgbColor rgb="FF003300"/>
      <rgbColor rgb="FF333300"/>
      <rgbColor rgb="FFC55A11"/>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56520</xdr:colOff>
      <xdr:row>17</xdr:row>
      <xdr:rowOff>147960</xdr:rowOff>
    </xdr:from>
    <xdr:to>
      <xdr:col>9</xdr:col>
      <xdr:colOff>460080</xdr:colOff>
      <xdr:row>46</xdr:row>
      <xdr:rowOff>1800</xdr:rowOff>
    </xdr:to>
    <xdr:pic>
      <xdr:nvPicPr>
        <xdr:cNvPr id="0" name="Picture 1" descr="Table&#10;&#10;Description automatically generated"/>
        <xdr:cNvPicPr/>
      </xdr:nvPicPr>
      <xdr:blipFill>
        <a:blip r:embed="rId1"/>
        <a:stretch/>
      </xdr:blipFill>
      <xdr:spPr>
        <a:xfrm>
          <a:off x="56520" y="3424680"/>
          <a:ext cx="13965840" cy="5101920"/>
        </a:xfrm>
        <a:prstGeom prst="rect">
          <a:avLst/>
        </a:prstGeom>
        <a:ln w="0">
          <a:noFill/>
        </a:ln>
      </xdr:spPr>
    </xdr:pic>
    <xdr:clientData/>
  </xdr:twoCellAnchor>
</xdr:wsDr>
</file>

<file path=xl/tables/table1.xml><?xml version="1.0" encoding="utf-8"?>
<table xmlns="http://schemas.openxmlformats.org/spreadsheetml/2006/main" id="1" name="Level1_process_list" displayName="Level1_process_list" ref="A1:C10" headerRowCount="1" totalsRowCount="0" totalsRowShown="0">
  <autoFilter ref="A1:C10"/>
  <tableColumns count="3">
    <tableColumn id="1" name="level 1 processes"/>
    <tableColumn id="2" name="code 1"/>
    <tableColumn id="3" name="description"/>
  </tableColumns>
</table>
</file>

<file path=xl/tables/table2.xml><?xml version="1.0" encoding="utf-8"?>
<table xmlns="http://schemas.openxmlformats.org/spreadsheetml/2006/main" id="2" name="Level2_process_list" displayName="Level2_process_list" ref="A1:F44" headerRowCount="1" totalsRowCount="0" totalsRowShown="0">
  <autoFilter ref="A1:F44"/>
  <tableColumns count="6">
    <tableColumn id="1" name="level 2 processes"/>
    <tableColumn id="2" name="code 2"/>
    <tableColumn id="3" name="description"/>
    <tableColumn id="4" name="level1 processes"/>
    <tableColumn id="5" name="code 1"/>
    <tableColumn id="6" name="note"/>
  </tableColumns>
</table>
</file>

<file path=xl/tables/table3.xml><?xml version="1.0" encoding="utf-8"?>
<table xmlns="http://schemas.openxmlformats.org/spreadsheetml/2006/main" id="3" name="Level3_process_list" displayName="Level3_process_list" ref="A1:H26" headerRowCount="1" totalsRowCount="0" totalsRowShown="0">
  <autoFilter ref="A1:H26"/>
  <tableColumns count="8">
    <tableColumn id="1" name="level 3 processes (technology)"/>
    <tableColumn id="2" name="code 3"/>
    <tableColumn id="3" name="description"/>
    <tableColumn id="4" name="level 2 processes"/>
    <tableColumn id="5" name="code 2"/>
    <tableColumn id="6" name="level1 processes"/>
    <tableColumn id="7" name="code 1"/>
    <tableColumn id="8" name="note"/>
  </tableColumns>
</table>
</file>

<file path=xl/worksheets/_rels/sheet1.xml.rels><?xml version="1.0" encoding="UTF-8"?>
<Relationships xmlns="http://schemas.openxmlformats.org/package/2006/relationships"><Relationship Id="rId1" Type="http://schemas.openxmlformats.org/officeDocument/2006/relationships/hyperlink" Target="../../../../../:x:/r/sites/futuram/_layouts/15/Doc.aspx%3Fsourcedoc=%7BCE6FF1E8-EE29-49E6-8899-D36C06BA37F5%7D&amp;file=20230531_RepTool%20output%20lists%20for%20CRM_mapping%20with%20WP3%20codelist.xlsx&amp;wdLOR=cD3614938-2E94-40F6-B903-5CD7E6F54B15&amp;action=default&amp;mobileredire" TargetMode="External"/><Relationship Id="rId2" Type="http://schemas.openxmlformats.org/officeDocument/2006/relationships/hyperlink" Target="../../../../../:x:/r/sites/futuram/Shared%20Documents/WP1%20-%20Conceptual%20and%20Methodological%20Development/Task%201.1/03%20Current%20topics/M12_transferCoefficients/waste_processes_from_ei_con319_mappingCodelist.xlsx%3Fd=wa9529e8781494fd8a90ad98401be0b8e&amp;csf=1&amp;web=" TargetMode="External"/><Relationship Id="rId3" Type="http://schemas.openxmlformats.org/officeDocument/2006/relationships/hyperlink" Target="../../../../../:x:/r/sites/futuram/Shared%20Documents/WP3%20-%20Secondary%20Raw%20Material%20Composition/01_data/02_WS-specificDataTemplates/archive/MIN/Second%20version%20Data%20Template_vGeoZS_conn_MIN4EU.xlsx%3Fd=wbbdeca1a8ead4cb9b4ea414d51763ca0&amp;csf=1&amp;web=1&amp;e=L5WWqx"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hu@tu-berlin.de" TargetMode="Externa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8" activeCellId="0" sqref="C8"/>
    </sheetView>
  </sheetViews>
  <sheetFormatPr defaultColWidth="10.859375" defaultRowHeight="14.25" zeroHeight="false" outlineLevelRow="0" outlineLevelCol="0"/>
  <cols>
    <col collapsed="false" customWidth="true" hidden="false" outlineLevel="0" max="1" min="1" style="0" width="70.71"/>
    <col collapsed="false" customWidth="true" hidden="false" outlineLevel="0" max="4" min="4" style="0" width="45.71"/>
  </cols>
  <sheetData>
    <row r="1" customFormat="false" ht="14.25" hidden="false" customHeight="false" outlineLevel="0" collapsed="false">
      <c r="A1" s="1" t="s">
        <v>0</v>
      </c>
    </row>
    <row r="2" customFormat="false" ht="14.25" hidden="false" customHeight="false" outlineLevel="0" collapsed="false">
      <c r="A2" s="1" t="s">
        <v>1</v>
      </c>
    </row>
    <row r="4" customFormat="false" ht="15" hidden="false" customHeight="false" outlineLevel="0" collapsed="false"/>
    <row r="5" customFormat="false" ht="14.25" hidden="false" customHeight="false" outlineLevel="0" collapsed="false">
      <c r="A5" s="2" t="s">
        <v>2</v>
      </c>
      <c r="B5" s="3"/>
      <c r="C5" s="3"/>
      <c r="D5" s="4"/>
    </row>
    <row r="6" customFormat="false" ht="14.25" hidden="false" customHeight="false" outlineLevel="0" collapsed="false">
      <c r="A6" s="5" t="s">
        <v>3</v>
      </c>
      <c r="B6" s="6" t="s">
        <v>4</v>
      </c>
      <c r="C6" s="6" t="s">
        <v>5</v>
      </c>
      <c r="D6" s="7" t="s">
        <v>6</v>
      </c>
    </row>
    <row r="7" customFormat="false" ht="14.25" hidden="false" customHeight="false" outlineLevel="0" collapsed="false">
      <c r="A7" s="8" t="s">
        <v>7</v>
      </c>
      <c r="B7" s="9" t="s">
        <v>8</v>
      </c>
      <c r="C7" s="10" t="s">
        <v>9</v>
      </c>
      <c r="D7" s="11" t="s">
        <v>10</v>
      </c>
    </row>
    <row r="8" customFormat="false" ht="14.25" hidden="false" customHeight="false" outlineLevel="0" collapsed="false">
      <c r="A8" s="8" t="s">
        <v>11</v>
      </c>
      <c r="B8" s="9" t="s">
        <v>8</v>
      </c>
      <c r="C8" s="10" t="s">
        <v>9</v>
      </c>
      <c r="D8" s="11" t="s">
        <v>12</v>
      </c>
    </row>
    <row r="9" customFormat="false" ht="14.25" hidden="false" customHeight="false" outlineLevel="0" collapsed="false">
      <c r="A9" s="12" t="s">
        <v>13</v>
      </c>
      <c r="B9" s="0" t="s">
        <v>14</v>
      </c>
      <c r="C9" s="13" t="s">
        <v>9</v>
      </c>
      <c r="D9" s="14" t="s">
        <v>15</v>
      </c>
    </row>
    <row r="10" customFormat="false" ht="14.25" hidden="false" customHeight="false" outlineLevel="0" collapsed="false">
      <c r="A10" s="8" t="s">
        <v>16</v>
      </c>
      <c r="B10" s="0" t="s">
        <v>17</v>
      </c>
      <c r="C10" s="13" t="s">
        <v>9</v>
      </c>
      <c r="D10" s="11"/>
    </row>
    <row r="11" customFormat="false" ht="14.25" hidden="false" customHeight="false" outlineLevel="0" collapsed="false">
      <c r="A11" s="8" t="s">
        <v>18</v>
      </c>
      <c r="B11" s="0" t="s">
        <v>17</v>
      </c>
      <c r="C11" s="13" t="s">
        <v>9</v>
      </c>
      <c r="D11" s="11"/>
    </row>
    <row r="12" customFormat="false" ht="28.5" hidden="false" customHeight="false" outlineLevel="0" collapsed="false">
      <c r="A12" s="8" t="s">
        <v>19</v>
      </c>
      <c r="B12" s="0" t="s">
        <v>17</v>
      </c>
      <c r="C12" s="13" t="s">
        <v>9</v>
      </c>
      <c r="D12" s="15" t="s">
        <v>20</v>
      </c>
    </row>
    <row r="13" customFormat="false" ht="14.25" hidden="false" customHeight="false" outlineLevel="0" collapsed="false">
      <c r="A13" s="8" t="s">
        <v>21</v>
      </c>
      <c r="B13" s="0" t="s">
        <v>17</v>
      </c>
      <c r="C13" s="13" t="s">
        <v>9</v>
      </c>
      <c r="D13" s="11"/>
    </row>
    <row r="14" customFormat="false" ht="14.25" hidden="false" customHeight="false" outlineLevel="0" collapsed="false">
      <c r="A14" s="8" t="s">
        <v>22</v>
      </c>
      <c r="B14" s="0" t="s">
        <v>17</v>
      </c>
      <c r="C14" s="13" t="s">
        <v>9</v>
      </c>
      <c r="D14" s="11" t="s">
        <v>23</v>
      </c>
    </row>
    <row r="15" customFormat="false" ht="15" hidden="false" customHeight="false" outlineLevel="0" collapsed="false">
      <c r="A15" s="16" t="s">
        <v>24</v>
      </c>
      <c r="B15" s="17" t="s">
        <v>17</v>
      </c>
      <c r="C15" s="18" t="s">
        <v>9</v>
      </c>
      <c r="D15" s="19" t="s">
        <v>25</v>
      </c>
    </row>
    <row r="17" customFormat="false" ht="14.25" hidden="false" customHeight="false" outlineLevel="0" collapsed="false">
      <c r="A17" s="0" t="s">
        <v>26</v>
      </c>
    </row>
    <row r="37" customFormat="false" ht="14.25" hidden="false" customHeight="false" outlineLevel="0" collapsed="false">
      <c r="B37" s="0" t="s">
        <v>27</v>
      </c>
    </row>
    <row r="38" customFormat="false" ht="14.25" hidden="false" customHeight="false" outlineLevel="0" collapsed="false">
      <c r="B38" s="20" t="s">
        <v>28</v>
      </c>
    </row>
  </sheetData>
  <hyperlinks>
    <hyperlink ref="B7" r:id="rId1" display="sharepoint"/>
    <hyperlink ref="B8" r:id="rId2" display="sharepoint"/>
    <hyperlink ref="D9" r:id="rId3" display="sharepoint_termporary vers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30" zoomScaleNormal="130" zoomScalePageLayoutView="100" workbookViewId="0">
      <selection pane="topLeft" activeCell="B12" activeCellId="0" sqref="B12"/>
    </sheetView>
  </sheetViews>
  <sheetFormatPr defaultColWidth="8.859375" defaultRowHeight="14.25" zeroHeight="false" outlineLevelRow="0" outlineLevelCol="0"/>
  <cols>
    <col collapsed="false" customWidth="true" hidden="false" outlineLevel="0" max="1" min="1" style="0" width="39.42"/>
    <col collapsed="false" customWidth="true" hidden="false" outlineLevel="0" max="2" min="2" style="0" width="29.57"/>
    <col collapsed="false" customWidth="true" hidden="false" outlineLevel="0" max="3" min="3" style="0" width="59.14"/>
    <col collapsed="false" customWidth="true" hidden="false" outlineLevel="0" max="4" min="4" style="0" width="42.86"/>
  </cols>
  <sheetData>
    <row r="1" customFormat="false" ht="15" hidden="false" customHeight="false" outlineLevel="0" collapsed="false"/>
    <row r="2" customFormat="false" ht="14.25" hidden="false" customHeight="false" outlineLevel="0" collapsed="false">
      <c r="A2" s="21" t="s">
        <v>29</v>
      </c>
      <c r="B2" s="22" t="s">
        <v>30</v>
      </c>
      <c r="C2" s="23"/>
    </row>
    <row r="3" customFormat="false" ht="14.25" hidden="false" customHeight="false" outlineLevel="0" collapsed="false">
      <c r="A3" s="24" t="s">
        <v>31</v>
      </c>
      <c r="B3" s="25" t="s">
        <v>32</v>
      </c>
      <c r="C3" s="26"/>
    </row>
    <row r="4" customFormat="false" ht="15" hidden="false" customHeight="false" outlineLevel="0" collapsed="false">
      <c r="A4" s="27" t="s">
        <v>33</v>
      </c>
      <c r="B4" s="28" t="s">
        <v>34</v>
      </c>
      <c r="C4" s="29" t="s">
        <v>35</v>
      </c>
    </row>
    <row r="5" customFormat="false" ht="15" hidden="false" customHeight="false" outlineLevel="0" collapsed="false">
      <c r="A5" s="30"/>
      <c r="B5" s="25"/>
      <c r="C5" s="30"/>
    </row>
    <row r="6" customFormat="false" ht="15" hidden="false" customHeight="false" outlineLevel="0" collapsed="false">
      <c r="A6" s="31" t="s">
        <v>36</v>
      </c>
      <c r="B6" s="32" t="s">
        <v>37</v>
      </c>
      <c r="C6" s="33" t="s">
        <v>38</v>
      </c>
    </row>
    <row r="7" customFormat="false" ht="15" hidden="false" customHeight="false" outlineLevel="0" collapsed="false">
      <c r="A7" s="30"/>
      <c r="B7" s="25"/>
      <c r="C7" s="34"/>
    </row>
    <row r="8" customFormat="false" ht="14.25" hidden="false" customHeight="false" outlineLevel="0" collapsed="false">
      <c r="A8" s="21" t="s">
        <v>39</v>
      </c>
      <c r="B8" s="35"/>
      <c r="C8" s="35"/>
    </row>
    <row r="9" customFormat="false" ht="24" hidden="false" customHeight="true" outlineLevel="0" collapsed="false">
      <c r="A9" s="24" t="s">
        <v>40</v>
      </c>
      <c r="B9" s="36" t="s">
        <v>41</v>
      </c>
      <c r="C9" s="36"/>
    </row>
    <row r="10" customFormat="false" ht="21" hidden="false" customHeight="true" outlineLevel="0" collapsed="false">
      <c r="A10" s="37" t="s">
        <v>42</v>
      </c>
      <c r="B10" s="38" t="s">
        <v>43</v>
      </c>
      <c r="C10" s="38"/>
    </row>
    <row r="11" customFormat="false" ht="30.75" hidden="false" customHeight="true" outlineLevel="0" collapsed="false">
      <c r="A11" s="37" t="s">
        <v>44</v>
      </c>
      <c r="B11" s="38" t="s">
        <v>45</v>
      </c>
      <c r="C11" s="38"/>
    </row>
    <row r="12" customFormat="false" ht="14.25" hidden="false" customHeight="true" outlineLevel="0" collapsed="false">
      <c r="A12" s="37" t="s">
        <v>46</v>
      </c>
      <c r="B12" s="38" t="s">
        <v>47</v>
      </c>
      <c r="C12" s="38"/>
    </row>
    <row r="13" customFormat="false" ht="15" hidden="false" customHeight="true" outlineLevel="0" collapsed="false">
      <c r="A13" s="39" t="s">
        <v>48</v>
      </c>
      <c r="B13" s="40" t="s">
        <v>49</v>
      </c>
      <c r="C13" s="40"/>
    </row>
    <row r="14" customFormat="false" ht="15" hidden="false" customHeight="false" outlineLevel="0" collapsed="false">
      <c r="A14" s="41"/>
      <c r="B14" s="25"/>
      <c r="C14" s="25"/>
    </row>
    <row r="15" customFormat="false" ht="14.25" hidden="false" customHeight="false" outlineLevel="0" collapsed="false">
      <c r="A15" s="21" t="s">
        <v>50</v>
      </c>
      <c r="B15" s="42"/>
      <c r="C15" s="42"/>
    </row>
    <row r="16" customFormat="false" ht="45" hidden="false" customHeight="true" outlineLevel="0" collapsed="false">
      <c r="A16" s="37" t="s">
        <v>51</v>
      </c>
      <c r="B16" s="36" t="s">
        <v>52</v>
      </c>
      <c r="C16" s="36"/>
    </row>
    <row r="17" customFormat="false" ht="144.75" hidden="false" customHeight="true" outlineLevel="0" collapsed="false">
      <c r="A17" s="39" t="s">
        <v>53</v>
      </c>
      <c r="B17" s="43" t="s">
        <v>54</v>
      </c>
      <c r="C17" s="43"/>
    </row>
    <row r="31" customFormat="false" ht="14.25" hidden="false" customHeight="false" outlineLevel="0" collapsed="false">
      <c r="B31" s="9"/>
      <c r="C31" s="13"/>
      <c r="D31" s="20"/>
    </row>
    <row r="32" customFormat="false" ht="14.25" hidden="false" customHeight="false" outlineLevel="0" collapsed="false">
      <c r="B32" s="9"/>
    </row>
  </sheetData>
  <mergeCells count="9">
    <mergeCell ref="B8:C8"/>
    <mergeCell ref="B9:C9"/>
    <mergeCell ref="B10:C10"/>
    <mergeCell ref="B11:C11"/>
    <mergeCell ref="B12:C12"/>
    <mergeCell ref="B13:C13"/>
    <mergeCell ref="B15:C15"/>
    <mergeCell ref="B16:C16"/>
    <mergeCell ref="B17:C17"/>
  </mergeCells>
  <hyperlinks>
    <hyperlink ref="C6" r:id="rId2" display="hu@tu-berlin.d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K12" activeCellId="0" sqref="K12"/>
    </sheetView>
  </sheetViews>
  <sheetFormatPr defaultColWidth="8.859375" defaultRowHeight="14.25" zeroHeight="false" outlineLevelRow="0" outlineLevelCol="0"/>
  <cols>
    <col collapsed="false" customWidth="true" hidden="false" outlineLevel="0" max="1" min="1" style="44" width="28.86"/>
    <col collapsed="false" customWidth="true" hidden="true" outlineLevel="0" max="2" min="2" style="44" width="21.43"/>
    <col collapsed="false" customWidth="true" hidden="true" outlineLevel="0" max="3" min="3" style="45" width="26"/>
    <col collapsed="false" customWidth="true" hidden="false" outlineLevel="0" max="4" min="4" style="44" width="28.14"/>
    <col collapsed="false" customWidth="true" hidden="true" outlineLevel="0" max="5" min="5" style="44" width="18.86"/>
    <col collapsed="false" customWidth="true" hidden="true" outlineLevel="0" max="6" min="6" style="45" width="33.42"/>
    <col collapsed="false" customWidth="true" hidden="false" outlineLevel="0" max="7" min="7" style="44" width="36.42"/>
    <col collapsed="false" customWidth="true" hidden="true" outlineLevel="0" max="8" min="8" style="44" width="24.14"/>
    <col collapsed="false" customWidth="true" hidden="true" outlineLevel="0" max="9" min="9" style="45" width="34.42"/>
    <col collapsed="false" customWidth="true" hidden="false" outlineLevel="0" max="10" min="10" style="44" width="23.42"/>
    <col collapsed="false" customWidth="false" hidden="false" outlineLevel="0" max="16384" min="11" style="44" width="8.86"/>
  </cols>
  <sheetData>
    <row r="1" customFormat="false" ht="14.25" hidden="false" customHeight="false" outlineLevel="0" collapsed="false">
      <c r="A1" s="46" t="s">
        <v>55</v>
      </c>
      <c r="B1" s="47" t="s">
        <v>56</v>
      </c>
      <c r="C1" s="48" t="s">
        <v>57</v>
      </c>
      <c r="D1" s="49" t="s">
        <v>58</v>
      </c>
      <c r="E1" s="47" t="s">
        <v>56</v>
      </c>
      <c r="F1" s="48" t="s">
        <v>57</v>
      </c>
      <c r="G1" s="50" t="s">
        <v>59</v>
      </c>
      <c r="H1" s="47" t="s">
        <v>56</v>
      </c>
      <c r="I1" s="48" t="s">
        <v>57</v>
      </c>
    </row>
    <row r="2" customFormat="false" ht="14.25" hidden="false" customHeight="false" outlineLevel="0" collapsed="false">
      <c r="A2" s="51" t="str">
        <f aca="false">Level1!A2</f>
        <v>production</v>
      </c>
      <c r="B2" s="52" t="str">
        <f aca="false">VLOOKUP(A2,Level1_process_list[],2,0)</f>
        <v>PRO_L1</v>
      </c>
      <c r="C2" s="53" t="str">
        <f aca="false">VLOOKUP(A2,Level1_process_list[],3,0)</f>
        <v>The processes include smelting, refining, fabrication and manufacturing.</v>
      </c>
      <c r="D2" s="54" t="str">
        <f aca="false">Level2!A2</f>
        <v>smelting</v>
      </c>
      <c r="E2" s="55" t="str">
        <f aca="false">VLOOKUP(D2,Level2_process_list[],2,0)</f>
        <v>SME_L2</v>
      </c>
      <c r="F2" s="56" t="str">
        <f aca="false">VLOOKUP(D2,Level2_process_list[],3,0)</f>
        <v>The valuable materials are subjected to high temperatures to melt, separating them from the other components then be collected and further processed.</v>
      </c>
      <c r="G2" s="54" t="str">
        <f aca="false">Level3!A2</f>
        <v>aluminium smelting</v>
      </c>
      <c r="H2" s="44" t="str">
        <f aca="false">VLOOKUP(G2,Level3_process_list[],2,0)</f>
        <v>AIS_L3</v>
      </c>
      <c r="I2" s="44" t="str">
        <f aca="false">VLOOKUP(G2,Level3_process_list[],3,0)</f>
        <v>The process of recycling aluminum scrap and waste materials to extract aluminum metal.</v>
      </c>
    </row>
    <row r="3" customFormat="false" ht="14.25" hidden="false" customHeight="false" outlineLevel="0" collapsed="false">
      <c r="A3" s="51"/>
      <c r="B3" s="52"/>
      <c r="C3" s="53"/>
      <c r="D3" s="54"/>
      <c r="E3" s="55"/>
      <c r="F3" s="56"/>
      <c r="G3" s="51" t="str">
        <f aca="false">Level3!A3</f>
        <v>iron smelting</v>
      </c>
      <c r="H3" s="44" t="str">
        <f aca="false">VLOOKUP(G3,Level3_process_list[],2,0)</f>
        <v>FeS_L3</v>
      </c>
      <c r="I3" s="44" t="str">
        <f aca="false">VLOOKUP(G3,Level3_process_list[],3,0)</f>
        <v>The process of recycling iron scrap and waste materials to extract iron metal.</v>
      </c>
      <c r="J3" s="41"/>
    </row>
    <row r="4" customFormat="false" ht="14.25" hidden="false" customHeight="false" outlineLevel="0" collapsed="false">
      <c r="A4" s="51"/>
      <c r="B4" s="52"/>
      <c r="C4" s="53"/>
      <c r="D4" s="54"/>
      <c r="E4" s="55"/>
      <c r="F4" s="56"/>
      <c r="G4" s="54" t="str">
        <f aca="false">Level3!A4</f>
        <v>integrated copper smelting</v>
      </c>
      <c r="H4" s="44" t="str">
        <f aca="false">VLOOKUP(G4,Level3_process_list[],2,0)</f>
        <v>INTCuS_L3</v>
      </c>
      <c r="I4" s="44" t="str">
        <f aca="false">VLOOKUP(G4,Level3_process_list[],3,0)</f>
        <v>The process involves the extraction of copper from sulfide ores in a single facility</v>
      </c>
    </row>
    <row r="5" customFormat="false" ht="14.25" hidden="false" customHeight="false" outlineLevel="0" collapsed="false">
      <c r="A5" s="51"/>
      <c r="B5" s="52"/>
      <c r="C5" s="53"/>
      <c r="D5" s="54"/>
      <c r="E5" s="55"/>
      <c r="F5" s="56"/>
      <c r="G5" s="54" t="str">
        <f aca="false">Level3!A5</f>
        <v>standard copper smelting</v>
      </c>
      <c r="H5" s="44" t="str">
        <f aca="false">VLOOKUP(G5,Level3_process_list[],2,0)</f>
        <v>STACuS_L3</v>
      </c>
      <c r="I5" s="44" t="str">
        <f aca="false">VLOOKUP(G5,Level3_process_list[],3,0)</f>
        <v>The process focuses on recycling and processing copper-containing materials without the need for mining and beneficiation.</v>
      </c>
    </row>
    <row r="6" customFormat="false" ht="14.25" hidden="false" customHeight="false" outlineLevel="0" collapsed="false">
      <c r="A6" s="51"/>
      <c r="B6" s="52"/>
      <c r="C6" s="53"/>
      <c r="D6" s="54"/>
      <c r="E6" s="55"/>
      <c r="F6" s="56"/>
      <c r="G6" s="54" t="str">
        <f aca="false">Level3_process_list[[#This Row],[level 3 processes (technology)]]</f>
        <v>lead smelting</v>
      </c>
      <c r="H6" s="44" t="str">
        <f aca="false">VLOOKUP(G6,Level3_process_list[],2,0)</f>
        <v>PbS_L3</v>
      </c>
      <c r="I6" s="44" t="str">
        <f aca="false">VLOOKUP(G6,Level3_process_list[],3,0)</f>
        <v>The process of recycling lead scrap and waste materials to extract lead metal.</v>
      </c>
    </row>
    <row r="7" customFormat="false" ht="57" hidden="false" customHeight="false" outlineLevel="0" collapsed="false">
      <c r="A7" s="51"/>
      <c r="B7" s="52"/>
      <c r="C7" s="53"/>
      <c r="D7" s="54" t="str">
        <f aca="false">Level2!A3</f>
        <v>refining</v>
      </c>
      <c r="E7" s="44" t="str">
        <f aca="false">VLOOKUP(D7,Level2_process_list[],2,0)</f>
        <v>REF_L2</v>
      </c>
      <c r="F7" s="45" t="str">
        <f aca="false">VLOOKUP(D7,Level2_process_list[],3,0)</f>
        <v>The process involves further purification, removal of impurities, or alloying to achieve the desired properties.</v>
      </c>
    </row>
    <row r="8" customFormat="false" ht="57" hidden="false" customHeight="false" outlineLevel="0" collapsed="false">
      <c r="A8" s="51"/>
      <c r="B8" s="52"/>
      <c r="C8" s="53"/>
      <c r="D8" s="54" t="str">
        <f aca="false">Level2!A4</f>
        <v>fabrication and manufacturing</v>
      </c>
      <c r="E8" s="44" t="str">
        <f aca="false">VLOOKUP(D8,Level2_process_list[],2,0)</f>
        <v>FAM_L2</v>
      </c>
      <c r="F8" s="45" t="str">
        <f aca="false">VLOOKUP(D8,Level2_process_list[],3,0)</f>
        <v>Fabrication involves assembling parts or materials to create a product. Manufacturing includes fabrication, assembly, and other processes.</v>
      </c>
      <c r="K8" s="57"/>
    </row>
    <row r="9" customFormat="false" ht="28.5" hidden="false" customHeight="false" outlineLevel="0" collapsed="false">
      <c r="A9" s="51"/>
      <c r="B9" s="52"/>
      <c r="C9" s="53"/>
      <c r="D9" s="51" t="str">
        <f aca="false">Level2!A5</f>
        <v>construction</v>
      </c>
      <c r="E9" s="44" t="str">
        <f aca="false">VLOOKUP(D9,Level2_process_list[],2,0)</f>
        <v>CON_L2</v>
      </c>
      <c r="F9" s="45" t="str">
        <f aca="false">VLOOKUP(D9,Level2_process_list[],3,0)</f>
        <v>The activities and steps involved in building structures or infrastructure.</v>
      </c>
    </row>
    <row r="10" customFormat="false" ht="42.75" hidden="false" customHeight="false" outlineLevel="0" collapsed="false">
      <c r="A10" s="58" t="str">
        <f aca="false">Level1!A3</f>
        <v>distribution and usage</v>
      </c>
      <c r="B10" s="59" t="str">
        <f aca="false">VLOOKUP(A10,Level1_process_list[],2,0)</f>
        <v>DAU_L1</v>
      </c>
      <c r="C10" s="45" t="str">
        <f aca="false">VLOOKUP(A10,Level1_process_list[],3,0)</f>
        <v>The processes include the products put on the market and their usage.</v>
      </c>
      <c r="D10" s="54" t="str">
        <f aca="false">Level2!A6</f>
        <v>usage</v>
      </c>
      <c r="E10" s="44" t="str">
        <f aca="false">VLOOKUP(D10,Level2_process_list[],2,0)</f>
        <v>USE_L2</v>
      </c>
      <c r="F10" s="45" t="str">
        <f aca="false">VLOOKUP(D10,Level2_process_list[],3,0)</f>
        <v>The usage activities include reuse and repair.</v>
      </c>
    </row>
    <row r="11" customFormat="false" ht="72" hidden="false" customHeight="false" outlineLevel="0" collapsed="false">
      <c r="A11" s="51" t="str">
        <f aca="false">Level1!A4</f>
        <v>collection</v>
      </c>
      <c r="B11" s="60" t="str">
        <f aca="false">VLOOKUP(A11,Level1_process_list[],2,0)</f>
        <v>COL_L1</v>
      </c>
      <c r="C11" s="61" t="str">
        <f aca="false">VLOOKUP(A11,Level1_process_list[],3,0)</f>
        <v>The processes gather the generated waste.</v>
      </c>
      <c r="D11" s="62" t="str">
        <f aca="false">Level2!A7</f>
        <v>dedicated collection</v>
      </c>
      <c r="E11" s="44" t="str">
        <f aca="false">VLOOKUP(D11,Level2_process_list[],2,0)</f>
        <v>DED_L2</v>
      </c>
      <c r="F11" s="45" t="str">
        <f aca="false">VLOOKUP(D11,Level2_process_list[],3,0)</f>
        <v>The specialized collection of specific waste streams or materials that require separate handling due to their unique characteristics or potential for recycling.</v>
      </c>
      <c r="I11" s="63"/>
    </row>
    <row r="12" customFormat="false" ht="114.75" hidden="false" customHeight="false" outlineLevel="0" collapsed="false">
      <c r="A12" s="51"/>
      <c r="B12" s="60"/>
      <c r="C12" s="61"/>
      <c r="D12" s="54" t="str">
        <f aca="false">Level2!A8</f>
        <v>complementary collection</v>
      </c>
      <c r="E12" s="44" t="str">
        <f aca="false">VLOOKUP(D12,Level2_process_list[],2,0)</f>
        <v>CPT_L2</v>
      </c>
      <c r="F12" s="45" t="str">
        <f aca="false">VLOOKUP(D12,Level2_process_list[],3,0)</f>
        <v>It is an additional collection process that complements the existing waste management system to address specific waste streams or materials that require separate handling or treatment (e.g.  hazardous materials, electronic waste, bulky items, construction and demolition waste).</v>
      </c>
      <c r="I12" s="63"/>
    </row>
    <row r="13" customFormat="false" ht="42.75" hidden="false" customHeight="false" outlineLevel="0" collapsed="false">
      <c r="A13" s="51"/>
      <c r="B13" s="60"/>
      <c r="C13" s="61"/>
      <c r="D13" s="54" t="str">
        <f aca="false">Level2!A9</f>
        <v>CDW collection separate</v>
      </c>
      <c r="E13" s="44" t="str">
        <f aca="false">VLOOKUP(D13,Level2_process_list[],2,0)</f>
        <v>CCS_L2</v>
      </c>
      <c r="F13" s="45" t="str">
        <f aca="false">VLOOKUP(D13,Level2_process_list[],3,0)</f>
        <v>After selective deconstruction and demolition waste, the collection is separated.</v>
      </c>
      <c r="I13" s="63"/>
    </row>
    <row r="14" customFormat="false" ht="72" hidden="false" customHeight="false" outlineLevel="0" collapsed="false">
      <c r="A14" s="51"/>
      <c r="B14" s="60"/>
      <c r="C14" s="61"/>
      <c r="D14" s="51" t="str">
        <f aca="false">Level2!A10</f>
        <v>CDW collection mix</v>
      </c>
      <c r="E14" s="44" t="str">
        <f aca="false">VLOOKUP(D14,Level2_process_list[],2,0)</f>
        <v>CCM_L2</v>
      </c>
      <c r="F14" s="45" t="str">
        <f aca="false">VLOOKUP(D14,Level2_process_list[],3,0)</f>
        <v>After the classical demolition (e.g. blasting, smashing), certain components might be removed beforehand, and the collection is mixed.</v>
      </c>
      <c r="I14" s="63"/>
    </row>
    <row r="15" customFormat="false" ht="14.25" hidden="false" customHeight="false" outlineLevel="0" collapsed="false">
      <c r="A15" s="51" t="str">
        <f aca="false">Level1!A5</f>
        <v>preparation for reuse</v>
      </c>
      <c r="B15" s="52" t="str">
        <f aca="false">VLOOKUP(A15,Level1_process_list[],2,0)</f>
        <v>PFR_L1</v>
      </c>
      <c r="C15" s="61" t="str">
        <f aca="false">VLOOKUP(A15,Level1_process_list[],3,0)</f>
        <v>The process checks whether the waste is reusable or not, then checks part of the waste is functional or not, and distributes it to the reuse stage.	 </v>
      </c>
      <c r="D15" s="54" t="str">
        <f aca="false">Level2!A11</f>
        <v>categorizing</v>
      </c>
      <c r="E15" s="56" t="str">
        <f aca="false">VLOOKUP(D15,Level2_process_list[],2,0)</f>
        <v>CAT_L2</v>
      </c>
      <c r="F15" s="56" t="str">
        <f aca="false">VLOOKUP(D15,Level2_process_list[],3,0)</f>
        <v>The process to classify whether the waste item is reusable or not.	 </v>
      </c>
      <c r="G15" s="64"/>
      <c r="H15" s="44" t="e">
        <f aca="false">VLOOKUP(G15,Level3_process_list[],2,0)</f>
        <v>#N/A</v>
      </c>
      <c r="I15" s="44" t="e">
        <f aca="false">VLOOKUP(G15,Level3_process_list[],3,0)</f>
        <v>#N/A</v>
      </c>
    </row>
    <row r="16" customFormat="false" ht="14.25" hidden="false" customHeight="false" outlineLevel="0" collapsed="false">
      <c r="A16" s="51"/>
      <c r="B16" s="52"/>
      <c r="C16" s="61"/>
      <c r="D16" s="65" t="s">
        <v>60</v>
      </c>
      <c r="E16" s="56"/>
      <c r="F16" s="56"/>
      <c r="G16" s="64"/>
      <c r="H16" s="44" t="e">
        <f aca="false">VLOOKUP(G16,Level3_process_list[],2,0)</f>
        <v>#N/A</v>
      </c>
      <c r="I16" s="44" t="e">
        <f aca="false">VLOOKUP(G16,Level3_process_list[],3,0)</f>
        <v>#N/A</v>
      </c>
    </row>
    <row r="17" customFormat="false" ht="28.5" hidden="false" customHeight="false" outlineLevel="0" collapsed="false">
      <c r="A17" s="51"/>
      <c r="B17" s="52"/>
      <c r="C17" s="61"/>
      <c r="D17" s="65" t="str">
        <f aca="false">Level2!A13</f>
        <v>disassembling</v>
      </c>
      <c r="E17" s="44" t="str">
        <f aca="false">VLOOKUP(D17,Level2_process_list[],2,0)</f>
        <v>DIS_L2</v>
      </c>
      <c r="F17" s="45" t="str">
        <f aca="false">VLOOKUP(D17,Level2_process_list[],3,0)</f>
        <v>The process to remove functional units from the waste item.</v>
      </c>
    </row>
    <row r="18" customFormat="false" ht="28.5" hidden="false" customHeight="false" outlineLevel="0" collapsed="false">
      <c r="A18" s="51"/>
      <c r="B18" s="52"/>
      <c r="C18" s="61"/>
      <c r="D18" s="66" t="str">
        <f aca="false">Level2!A14</f>
        <v>test and repair</v>
      </c>
      <c r="E18" s="44" t="str">
        <f aca="false">VLOOKUP(D18,Level2_process_list[],2,0)</f>
        <v>TAR_L2</v>
      </c>
      <c r="F18" s="45" t="str">
        <f aca="false">VLOOKUP(D18,Level2_process_list[],3,0)</f>
        <v>The process to test and repair the functional units.</v>
      </c>
    </row>
    <row r="19" customFormat="false" ht="28.5" hidden="false" customHeight="false" outlineLevel="0" collapsed="false">
      <c r="A19" s="67" t="str">
        <f aca="false">Level1!A6</f>
        <v>mechanical recovery processes</v>
      </c>
      <c r="B19" s="52" t="str">
        <f aca="false">VLOOKUP(A19,Level1_process_list[],2,0)</f>
        <v>MEC_L1</v>
      </c>
      <c r="C19" s="52" t="str">
        <f aca="false">VLOOKUP(A19,Level1_process_list[],3,0)</f>
        <v>The processes rely on physical comminution, separation, agglomeration, and mixing for recovery of the waste.	  </v>
      </c>
      <c r="D19" s="68" t="str">
        <f aca="false">Level2!A15</f>
        <v>comminution</v>
      </c>
      <c r="E19" s="69" t="str">
        <f aca="false">VLOOKUP(D19,Level2_process_list[],2,0)</f>
        <v>COM_L2</v>
      </c>
      <c r="F19" s="70" t="str">
        <f aca="false">VLOOKUP(D19,Level2_process_list[],3,0)</f>
        <v>Refers to the process of reducing the size of waste materials through shredding, grinding, or crushing.</v>
      </c>
      <c r="G19" s="71" t="str">
        <f aca="false">Level3!A7</f>
        <v>shredding</v>
      </c>
      <c r="H19" s="44" t="str">
        <f aca="false">VLOOKUP(G19,Level3_process_list[],2,0)</f>
        <v>SHR_L3</v>
      </c>
      <c r="I19" s="45" t="str">
        <f aca="false">VLOOKUP(G19,Level3_process_list[],3,0)</f>
        <v>Breaking waste materials into smaller strips.</v>
      </c>
    </row>
    <row r="20" customFormat="false" ht="15" hidden="false" customHeight="true" outlineLevel="0" collapsed="false">
      <c r="A20" s="67"/>
      <c r="B20" s="52"/>
      <c r="C20" s="52"/>
      <c r="D20" s="68"/>
      <c r="E20" s="69"/>
      <c r="F20" s="70"/>
      <c r="G20" s="71" t="str">
        <f aca="false">Level3!A8</f>
        <v>grinding</v>
      </c>
      <c r="H20" s="44" t="str">
        <f aca="false">VLOOKUP(G20,Level3_process_list[],2,0)</f>
        <v>GRI_L3</v>
      </c>
      <c r="I20" s="45" t="str">
        <f aca="false">VLOOKUP(G20,Level3_process_list[],3,0)</f>
        <v>Reducing waste into fine particles or powders.</v>
      </c>
    </row>
    <row r="21" customFormat="false" ht="14.25" hidden="false" customHeight="true" outlineLevel="0" collapsed="false">
      <c r="A21" s="67"/>
      <c r="B21" s="52"/>
      <c r="C21" s="52"/>
      <c r="D21" s="68"/>
      <c r="E21" s="69"/>
      <c r="F21" s="70"/>
      <c r="G21" s="71" t="str">
        <f aca="false">Level3!A9</f>
        <v>cutting</v>
      </c>
      <c r="H21" s="44" t="str">
        <f aca="false">VLOOKUP(G21,Level3_process_list[],2,0)</f>
        <v>CUT_L3</v>
      </c>
      <c r="I21" s="45" t="str">
        <f aca="false">VLOOKUP(G21,Level3_process_list[],3,0)</f>
        <v>Separating waste along a specific path.</v>
      </c>
      <c r="J21" s="41"/>
    </row>
    <row r="22" customFormat="false" ht="14.25" hidden="false" customHeight="true" outlineLevel="0" collapsed="false">
      <c r="A22" s="67"/>
      <c r="B22" s="52"/>
      <c r="C22" s="52"/>
      <c r="D22" s="68"/>
      <c r="E22" s="69"/>
      <c r="F22" s="70"/>
      <c r="G22" s="71" t="str">
        <f aca="false">Level3!A10</f>
        <v>crushing</v>
      </c>
      <c r="H22" s="44" t="str">
        <f aca="false">VLOOKUP(G22,Level3_process_list[],2,0)</f>
        <v>CRU_L3</v>
      </c>
      <c r="I22" s="45" t="str">
        <f aca="false">VLOOKUP(G22,Level3_process_list[],3,0)</f>
        <v>Compressing waste to reduce size or alter its physical structure.</v>
      </c>
    </row>
    <row r="23" customFormat="false" ht="42.75" hidden="false" customHeight="false" outlineLevel="0" collapsed="false">
      <c r="A23" s="67"/>
      <c r="B23" s="52"/>
      <c r="C23" s="52"/>
      <c r="D23" s="72" t="str">
        <f aca="false">Level2!A16</f>
        <v>separation</v>
      </c>
      <c r="E23" s="73" t="str">
        <f aca="false">VLOOKUP(D23,Level2_process_list[],2,0)</f>
        <v>SEP_L2</v>
      </c>
      <c r="F23" s="70" t="str">
        <f aca="false">VLOOKUP(D23,Level2_process_list[],3,0)</f>
        <v>Separation based on the waste properties such as size, shape, density, and magnetic properties, including such as mechanical sorting, screening, magnetic separation.  </v>
      </c>
      <c r="G23" s="71" t="str">
        <f aca="false">Level3!A11</f>
        <v>dismantling</v>
      </c>
      <c r="H23" s="44" t="str">
        <f aca="false">VLOOKUP(G23,Level3_process_list[],2,0)</f>
        <v>DIS_L3</v>
      </c>
      <c r="I23" s="45" t="str">
        <f aca="false">VLOOKUP(G23,Level3_process_list[],3,0)</f>
        <v>The systematic disassembly of electronic devices or equipment into their individual components or parts.</v>
      </c>
    </row>
    <row r="24" customFormat="false" ht="14.25" hidden="false" customHeight="false" outlineLevel="0" collapsed="false">
      <c r="A24" s="67"/>
      <c r="B24" s="52"/>
      <c r="C24" s="52"/>
      <c r="D24" s="72"/>
      <c r="E24" s="73"/>
      <c r="F24" s="70"/>
      <c r="G24" s="71" t="str">
        <f aca="false">Level3!A12</f>
        <v>depollution</v>
      </c>
    </row>
    <row r="25" customFormat="false" ht="14.25" hidden="false" customHeight="false" outlineLevel="0" collapsed="false">
      <c r="A25" s="67"/>
      <c r="B25" s="52"/>
      <c r="C25" s="52"/>
      <c r="D25" s="72"/>
      <c r="E25" s="73"/>
      <c r="F25" s="70"/>
      <c r="G25" s="71" t="str">
        <f aca="false">Level3!A13</f>
        <v>coating removal</v>
      </c>
    </row>
    <row r="26" customFormat="false" ht="14.25" hidden="false" customHeight="false" outlineLevel="0" collapsed="false">
      <c r="A26" s="67"/>
      <c r="B26" s="52"/>
      <c r="C26" s="52"/>
      <c r="D26" s="72"/>
      <c r="E26" s="73"/>
      <c r="F26" s="70"/>
      <c r="G26" s="71" t="str">
        <f aca="false">Level3!A14</f>
        <v>emptying</v>
      </c>
    </row>
    <row r="27" customFormat="false" ht="57" hidden="false" customHeight="false" outlineLevel="0" collapsed="false">
      <c r="A27" s="67"/>
      <c r="B27" s="52"/>
      <c r="C27" s="52"/>
      <c r="D27" s="72"/>
      <c r="E27" s="73"/>
      <c r="F27" s="70"/>
      <c r="G27" s="65" t="str">
        <f aca="false">Level3!A15</f>
        <v>sieving</v>
      </c>
      <c r="H27" s="44" t="str">
        <f aca="false">VLOOKUP(G27,Level3_process_list[],2,0)</f>
        <v>SIE_L3</v>
      </c>
      <c r="I27" s="45" t="str">
        <f aca="false">VLOOKUP(G27,Level3_process_list[],3,0)</f>
        <v>The process of separating solid waste materials by passing them through a sieve or mesh with different-sized openings. AKA screening.</v>
      </c>
    </row>
    <row r="28" customFormat="false" ht="15" hidden="false" customHeight="true" outlineLevel="0" collapsed="false">
      <c r="A28" s="67"/>
      <c r="B28" s="52"/>
      <c r="C28" s="52"/>
      <c r="D28" s="72"/>
      <c r="E28" s="73"/>
      <c r="F28" s="70"/>
      <c r="G28" s="54" t="str">
        <f aca="false">Level3!A16</f>
        <v>manual sorting</v>
      </c>
      <c r="H28" s="44" t="str">
        <f aca="false">VLOOKUP(G28,Level3_process_list[],2,0)</f>
        <v>MAS_L3</v>
      </c>
      <c r="I28" s="45" t="str">
        <f aca="false">VLOOKUP(G28,Level3_process_list[],3,0)</f>
        <v>The process involves the visual inspection and hand-picking of waste materials by workers. Examine and separate the waste based on specific criteria such as material type, color, shape, or composition.</v>
      </c>
    </row>
    <row r="29" customFormat="false" ht="98.25" hidden="false" customHeight="true" outlineLevel="0" collapsed="false">
      <c r="A29" s="67"/>
      <c r="B29" s="52"/>
      <c r="C29" s="52"/>
      <c r="D29" s="72"/>
      <c r="E29" s="73"/>
      <c r="F29" s="70"/>
      <c r="G29" s="54" t="str">
        <f aca="false">Level3!A17</f>
        <v>flotation</v>
      </c>
      <c r="H29" s="44" t="str">
        <f aca="false">VLOOKUP(G29,Level3_process_list[],2,0)</f>
        <v>FLO_L3</v>
      </c>
      <c r="I29" s="45" t="str">
        <f aca="false">VLOOKUP(G29,Level3_process_list[],3,0)</f>
        <v>A process based on density property to separate materials with low-density differences, such as plastics from mixed waste streams.</v>
      </c>
    </row>
    <row r="30" customFormat="false" ht="14.25" hidden="false" customHeight="true" outlineLevel="0" collapsed="false">
      <c r="A30" s="67"/>
      <c r="B30" s="52"/>
      <c r="C30" s="52"/>
      <c r="D30" s="72"/>
      <c r="E30" s="73"/>
      <c r="F30" s="70"/>
      <c r="G30" s="54" t="str">
        <f aca="false">Level3!A18</f>
        <v>sedimentation</v>
      </c>
      <c r="H30" s="44" t="str">
        <f aca="false">VLOOKUP(G30,Level3_process_list[],2,0)</f>
        <v>SED_L3</v>
      </c>
      <c r="I30" s="45" t="str">
        <f aca="false">VLOOKUP(G30,Level3_process_list[],3,0)</f>
        <v>A process based on the principle of gravity settling, where waste particles settle out of a liquid or slurry due to their different densities. </v>
      </c>
    </row>
    <row r="31" customFormat="false" ht="43.5" hidden="false" customHeight="true" outlineLevel="0" collapsed="false">
      <c r="A31" s="67"/>
      <c r="B31" s="52"/>
      <c r="C31" s="52"/>
      <c r="D31" s="72"/>
      <c r="E31" s="73"/>
      <c r="F31" s="70"/>
      <c r="G31" s="54" t="str">
        <f aca="false">Level3!A19</f>
        <v>air classification</v>
      </c>
      <c r="H31" s="44" t="str">
        <f aca="false">VLOOKUP(G31,Level3_process_list[],2,0)</f>
        <v>AIC_L3</v>
      </c>
      <c r="I31" s="45" t="str">
        <f aca="false">VLOOKUP(G31,Level3_process_list[],3,0)</f>
        <v>A process used to separate waste materials based on their particle size and density using air currents. Air classification is effective in separating materials with varying particle sizes.</v>
      </c>
    </row>
    <row r="32" customFormat="false" ht="101.25" hidden="false" customHeight="true" outlineLevel="0" collapsed="false">
      <c r="A32" s="67"/>
      <c r="B32" s="52"/>
      <c r="C32" s="52"/>
      <c r="D32" s="72"/>
      <c r="E32" s="73"/>
      <c r="F32" s="70"/>
      <c r="G32" s="54" t="str">
        <f aca="false">Level3!A20</f>
        <v>magnetic separation</v>
      </c>
      <c r="H32" s="44" t="str">
        <f aca="false">VLOOKUP(G32,Level3_process_list[],2,0)</f>
        <v>MAGS_L3</v>
      </c>
      <c r="I32" s="45" t="str">
        <f aca="false">VLOOKUP(G32,Level3_process_list[],3,0)</f>
        <v>Using magnets to separate ferrous (magnetic) materials such as iron and steel from non-ferrous materials.</v>
      </c>
    </row>
    <row r="33" customFormat="false" ht="14.25" hidden="false" customHeight="true" outlineLevel="0" collapsed="false">
      <c r="A33" s="67"/>
      <c r="B33" s="52"/>
      <c r="C33" s="52"/>
      <c r="D33" s="72"/>
      <c r="E33" s="73"/>
      <c r="F33" s="70"/>
      <c r="G33" s="54" t="str">
        <f aca="false">Level3!A21</f>
        <v>eddy current separation</v>
      </c>
      <c r="H33" s="44" t="str">
        <f aca="false">VLOOKUP(G33,Level3_process_list[],2,0)</f>
        <v>ECS_L3</v>
      </c>
      <c r="I33" s="45" t="str">
        <f aca="false">VLOOKUP(G33,Level3_process_list[],3,0)</f>
        <v>Focusing specifically on separating non-ferrous metals such as aluminum and copper using the principles of electromagnetic induction.</v>
      </c>
    </row>
    <row r="34" customFormat="false" ht="14.25" hidden="false" customHeight="true" outlineLevel="0" collapsed="false">
      <c r="A34" s="67"/>
      <c r="B34" s="52"/>
      <c r="C34" s="52"/>
      <c r="D34" s="72"/>
      <c r="E34" s="73"/>
      <c r="F34" s="70"/>
      <c r="G34" s="54" t="str">
        <f aca="false">Level3!A23</f>
        <v>Near InfraRed spectroscopy</v>
      </c>
      <c r="H34" s="44" t="str">
        <f aca="false">VLOOKUP(G34,Level3_process_list[],2,0)</f>
        <v>NIRS_L3</v>
      </c>
      <c r="I34" s="45" t="str">
        <f aca="false">VLOOKUP(G34,Level3_process_list[],3,0)</f>
        <v>Analyzing the chemical composition of materials based on their interaction with near-infrared light.</v>
      </c>
    </row>
    <row r="35" customFormat="false" ht="14.25" hidden="false" customHeight="true" outlineLevel="0" collapsed="false">
      <c r="A35" s="67"/>
      <c r="B35" s="52"/>
      <c r="C35" s="52"/>
      <c r="D35" s="72"/>
      <c r="E35" s="73"/>
      <c r="F35" s="70"/>
      <c r="G35" s="54" t="str">
        <f aca="false">Level3!A24</f>
        <v>Laser Induced Breakdown Spectroscopy</v>
      </c>
      <c r="H35" s="44" t="str">
        <f aca="false">VLOOKUP(G35,Level3_process_list[],2,0)</f>
        <v>LIBS_L3</v>
      </c>
      <c r="I35" s="45" t="str">
        <f aca="false">VLOOKUP(G35,Level3_process_list[],3,0)</f>
        <v>Determining the elemental composition of a sample by analyzing the light emitted during the laser-induced plasma formation. </v>
      </c>
    </row>
    <row r="36" customFormat="false" ht="14.25" hidden="false" customHeight="true" outlineLevel="0" collapsed="false">
      <c r="A36" s="67"/>
      <c r="B36" s="52"/>
      <c r="C36" s="52"/>
      <c r="D36" s="72"/>
      <c r="E36" s="73"/>
      <c r="F36" s="70"/>
      <c r="G36" s="54" t="str">
        <f aca="false">Level3!A25</f>
        <v>X-ray fluorescence</v>
      </c>
      <c r="H36" s="44" t="str">
        <f aca="false">VLOOKUP(G36,Level3_process_list[],2,0)</f>
        <v>XRF_L3</v>
      </c>
      <c r="I36" s="45" t="str">
        <f aca="false">VLOOKUP(G36,Level3_process_list[],3,0)</f>
        <v>Determining the elemental composition of a material by measuring characteristic X-ray emissions.</v>
      </c>
    </row>
    <row r="37" customFormat="false" ht="57.75" hidden="false" customHeight="true" outlineLevel="0" collapsed="false">
      <c r="A37" s="67"/>
      <c r="B37" s="52"/>
      <c r="C37" s="52"/>
      <c r="D37" s="68" t="str">
        <f aca="false">Level2!A17</f>
        <v>agglomeration</v>
      </c>
      <c r="E37" s="74" t="str">
        <f aca="false">VLOOKUP(D37,Level2_process_list[],2,0)</f>
        <v>AGG_L2</v>
      </c>
      <c r="F37" s="75" t="str">
        <f aca="false">VLOOKUP(D37,Level2_process_list[],3,0)</f>
        <v>Also known as pelletization or briquetting, involves compacting waste materials into larger units for improved handling and utilization.</v>
      </c>
    </row>
    <row r="38" customFormat="false" ht="72" hidden="false" customHeight="false" outlineLevel="0" collapsed="false">
      <c r="A38" s="67"/>
      <c r="B38" s="52"/>
      <c r="C38" s="52"/>
      <c r="D38" s="76" t="str">
        <f aca="false">Level2!A18</f>
        <v>mixing</v>
      </c>
      <c r="E38" s="74" t="str">
        <f aca="false">VLOOKUP(D38,Level2_process_list[],2,0)</f>
        <v>MIX_L2</v>
      </c>
      <c r="F38" s="75" t="str">
        <f aca="false">VLOOKUP(D38,Level2_process_list[],3,0)</f>
        <v>The mechanical mixing of powder containing two or multiple different components, that is needed to be mixed, in a high-speed mixer or in a ball mill.</v>
      </c>
    </row>
    <row r="39" customFormat="false" ht="14.25" hidden="false" customHeight="true" outlineLevel="0" collapsed="false">
      <c r="A39" s="71" t="str">
        <f aca="false">Level1!A7</f>
        <v>biological recovery processes</v>
      </c>
      <c r="B39" s="59" t="str">
        <f aca="false">VLOOKUP(A39,Level1_process_list[],2,0)</f>
        <v>BIO_L1</v>
      </c>
      <c r="C39" s="53" t="str">
        <f aca="false">VLOOKUP(A39,Level1_process_list[],3,0)</f>
        <v>The processes use natural biological mechanisms for example aerobic or anaerobic treatments to break down or transform waste materials.</v>
      </c>
      <c r="D39" s="71" t="str">
        <f aca="false">Level2!A19</f>
        <v>aerobic</v>
      </c>
      <c r="E39" s="74" t="str">
        <f aca="false">VLOOKUP(D39,Level2_process_list[],2,0)</f>
        <v>AER_L2</v>
      </c>
      <c r="F39" s="75" t="str">
        <f aca="false">VLOOKUP(D39,Level2_process_list[],3,0)</f>
        <v>The use of microorganisms that require oxygen to decompose and transform organic waste materials into simpler and more stable compounds. </v>
      </c>
    </row>
    <row r="40" customFormat="false" ht="14.25" hidden="false" customHeight="true" outlineLevel="0" collapsed="false">
      <c r="A40" s="71"/>
      <c r="B40" s="59"/>
      <c r="C40" s="53"/>
      <c r="D40" s="71" t="str">
        <f aca="false">Level2!A20</f>
        <v>anaerobic</v>
      </c>
      <c r="E40" s="74" t="str">
        <f aca="false">VLOOKUP(D40,Level2_process_list[],2,0)</f>
        <v>ANAER_L2</v>
      </c>
      <c r="F40" s="75" t="str">
        <f aca="false">VLOOKUP(D40,Level2_process_list[],3,0)</f>
        <v>The use of microorganisms that can decompose organic waste materials in the absence of oxygen. </v>
      </c>
    </row>
    <row r="41" customFormat="false" ht="14.25" hidden="false" customHeight="true" outlineLevel="0" collapsed="false">
      <c r="A41" s="71"/>
      <c r="B41" s="59"/>
      <c r="C41" s="53"/>
      <c r="D41" s="71" t="str">
        <f aca="false">Level2!A21</f>
        <v>bioleaching</v>
      </c>
      <c r="E41" s="74" t="str">
        <f aca="false">VLOOKUP(D41,Level2_process_list[],2,0)</f>
        <v>BLEA_L2</v>
      </c>
      <c r="F41" s="75" t="str">
        <f aca="false">VLOOKUP(D41,Level2_process_list[],3,0)</f>
        <v>The use of specific bacteria or fungi to catalyze chemical reactions that dissolve and recover metals from solid materials. </v>
      </c>
    </row>
    <row r="42" customFormat="false" ht="14.25" hidden="false" customHeight="true" outlineLevel="0" collapsed="false">
      <c r="A42" s="71" t="str">
        <f aca="false">Level1!A8</f>
        <v>thermal recovery processes</v>
      </c>
      <c r="B42" s="59" t="str">
        <f aca="false">VLOOKUP(A42,Level1_process_list[],2,0)</f>
        <v>THE_L1</v>
      </c>
      <c r="C42" s="53" t="str">
        <f aca="false">VLOOKUP(A42,Level1_process_list[],3,0)</f>
        <v>The processes involve the application of heat to treat or recover waste materials, for example incineration, pyrolysis and gasification.</v>
      </c>
      <c r="D42" s="71" t="str">
        <f aca="false">Level2!A22</f>
        <v>drying</v>
      </c>
      <c r="E42" s="74" t="str">
        <f aca="false">VLOOKUP(D42,Level2_process_list[],2,0)</f>
        <v>DRY_L2</v>
      </c>
      <c r="F42" s="75" t="str">
        <f aca="false">VLOOKUP(D42,Level2_process_list[],3,0)</f>
        <v>The process removes moisture or water content from a material through the application of heat.</v>
      </c>
    </row>
    <row r="43" customFormat="false" ht="14.25" hidden="false" customHeight="true" outlineLevel="0" collapsed="false">
      <c r="A43" s="71"/>
      <c r="B43" s="59"/>
      <c r="C43" s="53"/>
      <c r="D43" s="77" t="str">
        <f aca="false">Level2!A23</f>
        <v>incineration for recovery</v>
      </c>
      <c r="E43" s="74" t="str">
        <f aca="false">VLOOKUP(D43,Level2_process_list[],2,0)</f>
        <v>INCREC_L2</v>
      </c>
      <c r="F43" s="75" t="str">
        <f aca="false">VLOOKUP(D43,Level2_process_list[],3,0)</f>
        <v>Converting solid waste into energy, heat, or other valuable by-products. </v>
      </c>
    </row>
    <row r="44" customFormat="false" ht="14.25" hidden="false" customHeight="true" outlineLevel="0" collapsed="false">
      <c r="A44" s="71"/>
      <c r="B44" s="59"/>
      <c r="C44" s="53"/>
      <c r="D44" s="71" t="str">
        <f aca="false">Level2!A24</f>
        <v>gasification</v>
      </c>
      <c r="E44" s="74" t="str">
        <f aca="false">VLOOKUP(D44,Level2_process_list[],2,0)</f>
        <v>GAS_L2</v>
      </c>
      <c r="F44" s="75" t="str">
        <f aca="false">VLOOKUP(D44,Level2_process_list[],3,0)</f>
        <v>Converting carbonaceous materials, such as biomass, coal, or waste, into a valuable synthesis gas (syngas) composed primarily of hydrogen (H2) and carbon monoxide (CO). </v>
      </c>
    </row>
    <row r="45" customFormat="false" ht="14.25" hidden="false" customHeight="true" outlineLevel="0" collapsed="false">
      <c r="A45" s="71"/>
      <c r="B45" s="59"/>
      <c r="C45" s="53"/>
      <c r="D45" s="71" t="str">
        <f aca="false">Level2!A25</f>
        <v>pyrolysis</v>
      </c>
      <c r="E45" s="74" t="str">
        <f aca="false">VLOOKUP(D45,Level2_process_list[],2,0)</f>
        <v>PYR_L2</v>
      </c>
      <c r="F45" s="75" t="str">
        <f aca="false">VLOOKUP(D45,Level2_process_list[],3,0)</f>
        <v>Converting organic materials, such as biomass or waste, into a mixture of solid, liquid, and gas products in the absence of oxygen.</v>
      </c>
    </row>
    <row r="46" customFormat="false" ht="14.25" hidden="false" customHeight="true" outlineLevel="0" collapsed="false">
      <c r="A46" s="71"/>
      <c r="B46" s="59"/>
      <c r="C46" s="53"/>
      <c r="D46" s="71" t="str">
        <f aca="false">Level2!A26</f>
        <v>BATTsmelting</v>
      </c>
      <c r="E46" s="74" t="str">
        <f aca="false">VLOOKUP(D46,Level2_process_list[],2,0)</f>
        <v>BATTS_L2</v>
      </c>
      <c r="F46" s="75" t="str">
        <f aca="false">VLOOKUP(D46,Level2_process_list[],3,0)</f>
        <v>The high-temperature treatment of the batteries to extract valuable metals, such as lead and other metallic components.</v>
      </c>
    </row>
    <row r="47" customFormat="false" ht="14.25" hidden="false" customHeight="true" outlineLevel="0" collapsed="false">
      <c r="A47" s="71"/>
      <c r="B47" s="78"/>
      <c r="C47" s="79"/>
      <c r="D47" s="71" t="str">
        <f aca="false">Level2!A27</f>
        <v>roasting</v>
      </c>
      <c r="E47" s="74"/>
      <c r="F47" s="75"/>
    </row>
    <row r="48" customFormat="false" ht="14.25" hidden="false" customHeight="true" outlineLevel="0" collapsed="false">
      <c r="A48" s="71"/>
      <c r="B48" s="78"/>
      <c r="C48" s="79"/>
      <c r="D48" s="71" t="str">
        <f aca="false">Level2!A28</f>
        <v>vaporization</v>
      </c>
      <c r="E48" s="74"/>
      <c r="F48" s="75"/>
    </row>
    <row r="49" customFormat="false" ht="14.25" hidden="false" customHeight="true" outlineLevel="0" collapsed="false">
      <c r="A49" s="71"/>
      <c r="B49" s="78"/>
      <c r="C49" s="79"/>
      <c r="D49" s="71" t="str">
        <f aca="false">Level2!A29</f>
        <v>vacuum furnace</v>
      </c>
      <c r="E49" s="74"/>
      <c r="F49" s="75"/>
    </row>
    <row r="50" customFormat="false" ht="15" hidden="false" customHeight="true" outlineLevel="0" collapsed="false">
      <c r="A50" s="71" t="str">
        <f aca="false">Level1!A9</f>
        <v>chemical recovery processes</v>
      </c>
      <c r="B50" s="59" t="str">
        <f aca="false">VLOOKUP(A50,Level1_process_list[],2,0)</f>
        <v>CHE_L1</v>
      </c>
      <c r="C50" s="53" t="str">
        <f aca="false">VLOOKUP(A50,Level1_process_list[],3,0)</f>
        <v>The processes use chemical reactions to transform waste materials or extract valuable components, for example, leaching, extraction, and distillation.</v>
      </c>
      <c r="D50" s="71" t="str">
        <f aca="false">Level2!A30</f>
        <v>leaching</v>
      </c>
      <c r="E50" s="74" t="str">
        <f aca="false">VLOOKUP(D50,Level2_process_list[],2,0)</f>
        <v>LEA_L2</v>
      </c>
      <c r="F50" s="75" t="str">
        <f aca="false">VLOOKUP(D50,Level2_process_list[],3,0)</f>
        <v>The use of a solvent to dissolve valuable components from the waste material. </v>
      </c>
    </row>
    <row r="51" customFormat="false" ht="15" hidden="false" customHeight="true" outlineLevel="0" collapsed="false">
      <c r="A51" s="71"/>
      <c r="B51" s="59"/>
      <c r="C51" s="53"/>
      <c r="D51" s="71" t="str">
        <f aca="false">Level2!A31</f>
        <v>extraction</v>
      </c>
      <c r="E51" s="74" t="str">
        <f aca="false">VLOOKUP(D51,Level2_process_list[],2,0)</f>
        <v>EXT_L2</v>
      </c>
      <c r="F51" s="75" t="str">
        <f aca="false">VLOOKUP(D51,Level2_process_list[],3,0)</f>
        <v>It is similar to leaching, but the solvent selectively dissolves the desired compound, allowing it to be separated from the remaining waste or other unwanted compounds.</v>
      </c>
    </row>
    <row r="52" customFormat="false" ht="15" hidden="false" customHeight="true" outlineLevel="0" collapsed="false">
      <c r="A52" s="71"/>
      <c r="B52" s="59"/>
      <c r="C52" s="53"/>
      <c r="D52" s="71" t="str">
        <f aca="false">Level2!A32</f>
        <v>distillation</v>
      </c>
      <c r="E52" s="74" t="str">
        <f aca="false">VLOOKUP(D52,Level2_process_list[],2,0)</f>
        <v>DIST_L2</v>
      </c>
      <c r="F52" s="75" t="str">
        <f aca="false">VLOOKUP(D52,Level2_process_list[],3,0)</f>
        <v>A process that involves the separation of different components in a mixture based on their boiling points. </v>
      </c>
    </row>
    <row r="53" customFormat="false" ht="15" hidden="false" customHeight="true" outlineLevel="0" collapsed="false">
      <c r="A53" s="71"/>
      <c r="B53" s="59"/>
      <c r="C53" s="53"/>
      <c r="D53" s="71" t="str">
        <f aca="false">Level2!A33</f>
        <v>precipitation</v>
      </c>
      <c r="E53" s="74" t="str">
        <f aca="false">VLOOKUP(D53,Level2_process_list[],2,0)</f>
        <v>PRE_L2</v>
      </c>
      <c r="F53" s="75" t="str">
        <f aca="false">VLOOKUP(D53,Level2_process_list[],3,0)</f>
        <v>A process that involves the formation of solid particles in a solution. It is used in waste chemical recovery to selectively separate and recover specific compounds from a solution.</v>
      </c>
    </row>
    <row r="54" customFormat="false" ht="15" hidden="false" customHeight="true" outlineLevel="0" collapsed="false">
      <c r="A54" s="71"/>
      <c r="B54" s="59"/>
      <c r="C54" s="53"/>
      <c r="D54" s="71" t="str">
        <f aca="false">Level2!A34</f>
        <v>conditioning</v>
      </c>
      <c r="E54" s="74" t="str">
        <f aca="false">VLOOKUP(D54,Level2_process_list[],2,0)</f>
        <v>COD_L2</v>
      </c>
      <c r="F54" s="75" t="str">
        <f aca="false">VLOOKUP(D54,Level2_process_list[],3,0)</f>
        <v>The preparation or treatment of the waste material to make it more suitable for subsequent processing steps.</v>
      </c>
    </row>
    <row r="55" customFormat="false" ht="15" hidden="false" customHeight="true" outlineLevel="0" collapsed="false">
      <c r="A55" s="71"/>
      <c r="B55" s="59"/>
      <c r="C55" s="53"/>
      <c r="D55" s="71" t="str">
        <f aca="false">Level2!A35</f>
        <v>electrolysis </v>
      </c>
      <c r="E55" s="74" t="str">
        <f aca="false">VLOOKUP(D55,Level2_process_list[],2,0)</f>
        <v>ELE_L2</v>
      </c>
      <c r="F55" s="75" t="str">
        <f aca="false">VLOOKUP(D55,Level2_process_list[],3,0)</f>
        <v>A process uses an electric current to recover metals or transform compounds.</v>
      </c>
    </row>
    <row r="56" customFormat="false" ht="15" hidden="false" customHeight="true" outlineLevel="0" collapsed="false">
      <c r="A56" s="71"/>
      <c r="B56" s="59"/>
      <c r="C56" s="80"/>
      <c r="D56" s="71" t="s">
        <v>61</v>
      </c>
      <c r="E56" s="74"/>
      <c r="F56" s="75"/>
    </row>
    <row r="57" customFormat="false" ht="15" hidden="false" customHeight="true" outlineLevel="0" collapsed="false">
      <c r="A57" s="71"/>
      <c r="B57" s="59"/>
      <c r="C57" s="80"/>
      <c r="D57" s="71" t="s">
        <v>62</v>
      </c>
      <c r="E57" s="74"/>
      <c r="F57" s="75"/>
    </row>
    <row r="58" customFormat="false" ht="15" hidden="false" customHeight="true" outlineLevel="0" collapsed="false">
      <c r="A58" s="71"/>
      <c r="B58" s="59"/>
      <c r="C58" s="80"/>
      <c r="D58" s="71" t="s">
        <v>63</v>
      </c>
      <c r="E58" s="74"/>
      <c r="F58" s="75"/>
    </row>
    <row r="59" customFormat="false" ht="15" hidden="false" customHeight="true" outlineLevel="0" collapsed="false">
      <c r="A59" s="71"/>
      <c r="B59" s="59"/>
      <c r="C59" s="80"/>
      <c r="D59" s="71" t="s">
        <v>64</v>
      </c>
      <c r="E59" s="74"/>
      <c r="F59" s="75"/>
    </row>
    <row r="60" customFormat="false" ht="15" hidden="false" customHeight="true" outlineLevel="0" collapsed="false">
      <c r="A60" s="71" t="str">
        <f aca="false">Level1!A10</f>
        <v>disposal processes</v>
      </c>
      <c r="B60" s="59" t="str">
        <f aca="false">VLOOKUP(A60,Level1_process_list[],2,0)</f>
        <v>DIS_L1</v>
      </c>
      <c r="C60" s="53" t="str">
        <f aca="false">VLOOKUP(A60,Level1_process_list[],3,0)</f>
        <v>The process is the final step when waste materials cannot be effectively recovered or treated. </v>
      </c>
      <c r="D60" s="71" t="str">
        <f aca="false">Level2!A40</f>
        <v>landfilling</v>
      </c>
      <c r="E60" s="74" t="str">
        <f aca="false">VLOOKUP(D60,Level2_process_list[],2,0)</f>
        <v>LAN_L2</v>
      </c>
      <c r="F60" s="75" t="str">
        <f aca="false">VLOOKUP(D60,Level2_process_list[],3,0)</f>
        <v>Burying waste in designated areas for disposal.</v>
      </c>
    </row>
    <row r="61" customFormat="false" ht="15" hidden="false" customHeight="true" outlineLevel="0" collapsed="false">
      <c r="A61" s="71"/>
      <c r="B61" s="59"/>
      <c r="C61" s="53"/>
      <c r="D61" s="71" t="str">
        <f aca="false">Level2!A41</f>
        <v>neutralization for landfills</v>
      </c>
      <c r="E61" s="74"/>
      <c r="F61" s="75"/>
    </row>
    <row r="62" customFormat="false" ht="15" hidden="false" customHeight="true" outlineLevel="0" collapsed="false">
      <c r="A62" s="71"/>
      <c r="B62" s="59"/>
      <c r="C62" s="53"/>
      <c r="D62" s="65" t="str">
        <f aca="false">Level2!A42</f>
        <v>incineration for disposal</v>
      </c>
      <c r="E62" s="74" t="str">
        <f aca="false">VLOOKUP(D62,Level2_process_list[],2,0)</f>
        <v>INCDIS_L2</v>
      </c>
      <c r="F62" s="75" t="str">
        <f aca="false">VLOOKUP(D62,Level2_process_list[],3,0)</f>
        <v>The controlled burning of waste to reduce volume and produce ash, gas, and heat.</v>
      </c>
    </row>
    <row r="63" customFormat="false" ht="14.25" hidden="false" customHeight="true" outlineLevel="0" collapsed="false">
      <c r="A63" s="71"/>
      <c r="B63" s="59"/>
      <c r="C63" s="53"/>
      <c r="D63" s="71" t="str">
        <f aca="false">Level2!A43</f>
        <v>interim storage</v>
      </c>
      <c r="E63" s="74" t="str">
        <f aca="false">VLOOKUP(D63,Level2_process_list[],2,0)</f>
        <v>ITS_L2</v>
      </c>
      <c r="F63" s="75" t="str">
        <f aca="false">VLOOKUP(D63,Level2_process_list[],3,0)</f>
        <v>The temporary containment or storage of waste materials before they are further processed or disposed of. </v>
      </c>
    </row>
  </sheetData>
  <mergeCells count="35">
    <mergeCell ref="A2:A9"/>
    <mergeCell ref="B2:B9"/>
    <mergeCell ref="C2:C9"/>
    <mergeCell ref="D2:D6"/>
    <mergeCell ref="E2:E6"/>
    <mergeCell ref="F2:F6"/>
    <mergeCell ref="A11:A14"/>
    <mergeCell ref="B11:B14"/>
    <mergeCell ref="C11:C14"/>
    <mergeCell ref="A15:A18"/>
    <mergeCell ref="B15:B18"/>
    <mergeCell ref="C15:C18"/>
    <mergeCell ref="E15:E16"/>
    <mergeCell ref="F15:F16"/>
    <mergeCell ref="A19:A38"/>
    <mergeCell ref="B19:B38"/>
    <mergeCell ref="C19:C38"/>
    <mergeCell ref="D19:D22"/>
    <mergeCell ref="E19:E22"/>
    <mergeCell ref="F19:F22"/>
    <mergeCell ref="D23:D36"/>
    <mergeCell ref="E23:E36"/>
    <mergeCell ref="F23:F36"/>
    <mergeCell ref="A39:A41"/>
    <mergeCell ref="B39:B41"/>
    <mergeCell ref="C39:C41"/>
    <mergeCell ref="A42:A49"/>
    <mergeCell ref="B42:B46"/>
    <mergeCell ref="C42:C46"/>
    <mergeCell ref="A50:A59"/>
    <mergeCell ref="B50:B55"/>
    <mergeCell ref="C50:C55"/>
    <mergeCell ref="A60:A63"/>
    <mergeCell ref="B60:B63"/>
    <mergeCell ref="C60:C6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D10"/>
  <sheetViews>
    <sheetView showFormulas="false" showGridLines="true" showRowColHeaders="true" showZeros="true" rightToLeft="false" tabSelected="false" showOutlineSymbols="true" defaultGridColor="true" view="normal" topLeftCell="A1" colorId="64" zoomScale="190" zoomScaleNormal="190" zoomScalePageLayoutView="220" workbookViewId="0">
      <pane xSplit="0" ySplit="1" topLeftCell="A2" activePane="bottomLeft" state="frozen"/>
      <selection pane="topLeft" activeCell="A1" activeCellId="0" sqref="A1"/>
      <selection pane="bottomLeft" activeCell="A16" activeCellId="0" sqref="A16"/>
    </sheetView>
  </sheetViews>
  <sheetFormatPr defaultColWidth="8.859375" defaultRowHeight="14.25" zeroHeight="false" outlineLevelRow="0" outlineLevelCol="0"/>
  <cols>
    <col collapsed="false" customWidth="true" hidden="false" outlineLevel="0" max="1" min="1" style="0" width="31.86"/>
    <col collapsed="false" customWidth="true" hidden="false" outlineLevel="0" max="2" min="2" style="0" width="16.14"/>
    <col collapsed="false" customWidth="true" hidden="false" outlineLevel="0" max="3" min="3" style="81" width="69.43"/>
  </cols>
  <sheetData>
    <row r="1" customFormat="false" ht="14.25" hidden="false" customHeight="false" outlineLevel="0" collapsed="false">
      <c r="A1" s="82" t="s">
        <v>65</v>
      </c>
      <c r="B1" s="83" t="s">
        <v>66</v>
      </c>
      <c r="C1" s="84" t="s">
        <v>57</v>
      </c>
    </row>
    <row r="2" customFormat="false" ht="14.25" hidden="false" customHeight="false" outlineLevel="0" collapsed="false">
      <c r="A2" s="44" t="s">
        <v>67</v>
      </c>
      <c r="B2" s="64" t="s">
        <v>68</v>
      </c>
      <c r="C2" s="81" t="s">
        <v>69</v>
      </c>
    </row>
    <row r="3" customFormat="false" ht="14.25" hidden="false" customHeight="false" outlineLevel="0" collapsed="false">
      <c r="A3" s="0" t="s">
        <v>70</v>
      </c>
      <c r="B3" s="0" t="s">
        <v>71</v>
      </c>
      <c r="C3" s="81" t="s">
        <v>72</v>
      </c>
    </row>
    <row r="4" customFormat="false" ht="14.25" hidden="false" customHeight="false" outlineLevel="0" collapsed="false">
      <c r="A4" s="0" t="s">
        <v>73</v>
      </c>
      <c r="B4" s="0" t="s">
        <v>74</v>
      </c>
      <c r="C4" s="81" t="s">
        <v>75</v>
      </c>
    </row>
    <row r="5" customFormat="false" ht="28.5" hidden="false" customHeight="false" outlineLevel="0" collapsed="false">
      <c r="A5" s="0" t="s">
        <v>76</v>
      </c>
      <c r="B5" s="0" t="s">
        <v>77</v>
      </c>
      <c r="C5" s="85" t="s">
        <v>78</v>
      </c>
      <c r="D5" s="1"/>
    </row>
    <row r="6" customFormat="false" ht="30" hidden="false" customHeight="true" outlineLevel="0" collapsed="false">
      <c r="A6" s="44" t="s">
        <v>79</v>
      </c>
      <c r="B6" s="44" t="s">
        <v>80</v>
      </c>
      <c r="C6" s="81" t="s">
        <v>81</v>
      </c>
      <c r="D6" s="20"/>
    </row>
    <row r="7" customFormat="false" ht="28.5" hidden="false" customHeight="false" outlineLevel="0" collapsed="false">
      <c r="A7" s="44" t="s">
        <v>82</v>
      </c>
      <c r="B7" s="44" t="s">
        <v>83</v>
      </c>
      <c r="C7" s="81" t="s">
        <v>84</v>
      </c>
      <c r="D7" s="20"/>
    </row>
    <row r="8" customFormat="false" ht="28.5" hidden="false" customHeight="false" outlineLevel="0" collapsed="false">
      <c r="A8" s="44" t="s">
        <v>85</v>
      </c>
      <c r="B8" s="44" t="s">
        <v>86</v>
      </c>
      <c r="C8" s="85" t="s">
        <v>87</v>
      </c>
      <c r="D8" s="20"/>
    </row>
    <row r="9" customFormat="false" ht="33" hidden="false" customHeight="true" outlineLevel="0" collapsed="false">
      <c r="A9" s="44" t="s">
        <v>88</v>
      </c>
      <c r="B9" s="44" t="s">
        <v>89</v>
      </c>
      <c r="C9" s="81" t="s">
        <v>90</v>
      </c>
    </row>
    <row r="10" customFormat="false" ht="28.5" hidden="false" customHeight="false" outlineLevel="0" collapsed="false">
      <c r="A10" s="44" t="s">
        <v>91</v>
      </c>
      <c r="B10" s="44" t="s">
        <v>92</v>
      </c>
      <c r="C10" s="81" t="s">
        <v>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F101"/>
  <sheetViews>
    <sheetView showFormulas="false" showGridLines="true" showRowColHeaders="true" showZeros="true" rightToLeft="false" tabSelected="true" showOutlineSymbols="true" defaultGridColor="true" view="normal" topLeftCell="A1" colorId="64" zoomScale="145" zoomScaleNormal="145" zoomScalePageLayoutView="100" workbookViewId="0">
      <pane xSplit="0" ySplit="1" topLeftCell="A38" activePane="bottomLeft" state="frozen"/>
      <selection pane="topLeft" activeCell="A1" activeCellId="0" sqref="A1"/>
      <selection pane="bottomLeft" activeCell="A47" activeCellId="0" sqref="A47"/>
    </sheetView>
  </sheetViews>
  <sheetFormatPr defaultColWidth="8.859375" defaultRowHeight="14.25" zeroHeight="false" outlineLevelRow="0" outlineLevelCol="0"/>
  <cols>
    <col collapsed="false" customWidth="true" hidden="false" outlineLevel="0" max="1" min="1" style="44" width="28.14"/>
    <col collapsed="false" customWidth="true" hidden="false" outlineLevel="0" max="2" min="2" style="44" width="18.86"/>
    <col collapsed="false" customWidth="true" hidden="false" outlineLevel="0" max="3" min="3" style="45" width="66.86"/>
    <col collapsed="false" customWidth="true" hidden="false" outlineLevel="0" max="4" min="4" style="44" width="28.86"/>
    <col collapsed="false" customWidth="true" hidden="false" outlineLevel="0" max="5" min="5" style="44" width="9"/>
    <col collapsed="false" customWidth="true" hidden="false" outlineLevel="0" max="6" min="6" style="44" width="24.29"/>
    <col collapsed="false" customWidth="false" hidden="false" outlineLevel="0" max="16384" min="7" style="44" width="8.86"/>
  </cols>
  <sheetData>
    <row r="1" customFormat="false" ht="14.25" hidden="false" customHeight="false" outlineLevel="0" collapsed="false">
      <c r="A1" s="49" t="s">
        <v>58</v>
      </c>
      <c r="B1" s="47" t="s">
        <v>94</v>
      </c>
      <c r="C1" s="86" t="s">
        <v>57</v>
      </c>
      <c r="D1" s="87" t="s">
        <v>95</v>
      </c>
      <c r="E1" s="88" t="s">
        <v>66</v>
      </c>
      <c r="F1" s="30" t="s">
        <v>6</v>
      </c>
    </row>
    <row r="2" customFormat="false" ht="63.75" hidden="false" customHeight="true" outlineLevel="0" collapsed="false">
      <c r="A2" s="44" t="s">
        <v>96</v>
      </c>
      <c r="B2" s="30" t="s">
        <v>97</v>
      </c>
      <c r="C2" s="89" t="s">
        <v>98</v>
      </c>
      <c r="D2" s="30" t="s">
        <v>67</v>
      </c>
      <c r="E2" s="44" t="str">
        <f aca="false">VLOOKUP(D2,Level1_process_list[],2,0)</f>
        <v>PRO_L1</v>
      </c>
      <c r="F2" s="45" t="s">
        <v>99</v>
      </c>
    </row>
    <row r="3" customFormat="false" ht="36.75" hidden="false" customHeight="true" outlineLevel="0" collapsed="false">
      <c r="A3" s="44" t="s">
        <v>100</v>
      </c>
      <c r="B3" s="30" t="s">
        <v>101</v>
      </c>
      <c r="C3" s="89" t="s">
        <v>102</v>
      </c>
      <c r="D3" s="30" t="s">
        <v>67</v>
      </c>
      <c r="E3" s="44" t="str">
        <f aca="false">VLOOKUP(D3,Level1_process_list[],2,0)</f>
        <v>PRO_L1</v>
      </c>
    </row>
    <row r="4" customFormat="false" ht="28.5" hidden="false" customHeight="false" outlineLevel="0" collapsed="false">
      <c r="A4" s="44" t="s">
        <v>103</v>
      </c>
      <c r="B4" s="64" t="s">
        <v>104</v>
      </c>
      <c r="C4" s="89" t="s">
        <v>105</v>
      </c>
      <c r="D4" s="30" t="s">
        <v>67</v>
      </c>
      <c r="E4" s="44" t="str">
        <f aca="false">VLOOKUP(D4,Level1_process_list[],2,0)</f>
        <v>PRO_L1</v>
      </c>
    </row>
    <row r="5" customFormat="false" ht="14.25" hidden="false" customHeight="false" outlineLevel="0" collapsed="false">
      <c r="A5" s="44" t="s">
        <v>106</v>
      </c>
      <c r="B5" s="64" t="s">
        <v>107</v>
      </c>
      <c r="C5" s="89" t="s">
        <v>108</v>
      </c>
      <c r="D5" s="30" t="s">
        <v>67</v>
      </c>
      <c r="E5" s="44" t="str">
        <f aca="false">VLOOKUP(D5,Level1_process_list[],2,0)</f>
        <v>PRO_L1</v>
      </c>
    </row>
    <row r="6" customFormat="false" ht="14.25" hidden="false" customHeight="false" outlineLevel="0" collapsed="false">
      <c r="A6" s="44" t="s">
        <v>109</v>
      </c>
      <c r="B6" s="64" t="s">
        <v>110</v>
      </c>
      <c r="C6" s="89" t="s">
        <v>111</v>
      </c>
      <c r="D6" s="30" t="s">
        <v>70</v>
      </c>
      <c r="E6" s="44" t="str">
        <f aca="false">VLOOKUP(D6,Level1_process_list[],2,0)</f>
        <v>DAU_L1</v>
      </c>
    </row>
    <row r="7" customFormat="false" ht="28.5" hidden="false" customHeight="false" outlineLevel="0" collapsed="false">
      <c r="A7" s="44" t="s">
        <v>112</v>
      </c>
      <c r="B7" s="30" t="s">
        <v>113</v>
      </c>
      <c r="C7" s="89" t="s">
        <v>114</v>
      </c>
      <c r="D7" s="30" t="s">
        <v>73</v>
      </c>
      <c r="E7" s="44" t="str">
        <f aca="false">VLOOKUP(D7,Level1_process_list[],2,0)</f>
        <v>COL_L1</v>
      </c>
      <c r="F7" s="44" t="s">
        <v>115</v>
      </c>
    </row>
    <row r="8" customFormat="false" ht="57" hidden="false" customHeight="false" outlineLevel="0" collapsed="false">
      <c r="A8" s="44" t="s">
        <v>116</v>
      </c>
      <c r="B8" s="30" t="s">
        <v>117</v>
      </c>
      <c r="C8" s="89" t="s">
        <v>118</v>
      </c>
      <c r="D8" s="30" t="s">
        <v>73</v>
      </c>
      <c r="E8" s="44" t="str">
        <f aca="false">VLOOKUP(D8,Level1_process_list[],2,0)</f>
        <v>COL_L1</v>
      </c>
      <c r="F8" s="44" t="s">
        <v>115</v>
      </c>
    </row>
    <row r="9" customFormat="false" ht="28.5" hidden="false" customHeight="false" outlineLevel="0" collapsed="false">
      <c r="A9" s="44" t="s">
        <v>119</v>
      </c>
      <c r="B9" s="64" t="s">
        <v>120</v>
      </c>
      <c r="C9" s="89" t="s">
        <v>121</v>
      </c>
      <c r="D9" s="30" t="s">
        <v>73</v>
      </c>
      <c r="E9" s="44" t="str">
        <f aca="false">VLOOKUP(D9,Level1_process_list[],2,0)</f>
        <v>COL_L1</v>
      </c>
    </row>
    <row r="10" customFormat="false" ht="35.25" hidden="false" customHeight="true" outlineLevel="0" collapsed="false">
      <c r="A10" s="44" t="s">
        <v>122</v>
      </c>
      <c r="B10" s="64" t="s">
        <v>123</v>
      </c>
      <c r="C10" s="89" t="s">
        <v>124</v>
      </c>
      <c r="D10" s="30" t="s">
        <v>73</v>
      </c>
      <c r="E10" s="44" t="str">
        <f aca="false">VLOOKUP(D10,Level1_process_list[],2,0)</f>
        <v>COL_L1</v>
      </c>
    </row>
    <row r="11" customFormat="false" ht="14.25" hidden="false" customHeight="false" outlineLevel="0" collapsed="false">
      <c r="A11" s="44" t="s">
        <v>125</v>
      </c>
      <c r="B11" s="30" t="s">
        <v>126</v>
      </c>
      <c r="C11" s="89" t="s">
        <v>127</v>
      </c>
      <c r="D11" s="30" t="s">
        <v>76</v>
      </c>
      <c r="E11" s="44" t="str">
        <f aca="false">VLOOKUP(D11,Level1_process_list[],2,0)</f>
        <v>PFR_L1</v>
      </c>
    </row>
    <row r="12" customFormat="false" ht="14.25" hidden="false" customHeight="false" outlineLevel="0" collapsed="false">
      <c r="A12" s="44" t="s">
        <v>60</v>
      </c>
      <c r="B12" s="30" t="s">
        <v>128</v>
      </c>
      <c r="C12" s="85" t="s">
        <v>129</v>
      </c>
      <c r="D12" s="30" t="s">
        <v>76</v>
      </c>
      <c r="E12" s="44" t="str">
        <f aca="false">VLOOKUP(D12,Level1_process_list[],2,0)</f>
        <v>PFR_L1</v>
      </c>
    </row>
    <row r="13" customFormat="false" ht="14.25" hidden="false" customHeight="false" outlineLevel="0" collapsed="false">
      <c r="A13" s="44" t="s">
        <v>130</v>
      </c>
      <c r="B13" s="30" t="s">
        <v>131</v>
      </c>
      <c r="C13" s="89" t="s">
        <v>132</v>
      </c>
      <c r="D13" s="30" t="s">
        <v>76</v>
      </c>
      <c r="E13" s="44" t="str">
        <f aca="false">VLOOKUP(D13,Level1_process_list[],2,0)</f>
        <v>PFR_L1</v>
      </c>
    </row>
    <row r="14" customFormat="false" ht="14.25" hidden="false" customHeight="false" outlineLevel="0" collapsed="false">
      <c r="A14" s="44" t="s">
        <v>133</v>
      </c>
      <c r="B14" s="64" t="s">
        <v>134</v>
      </c>
      <c r="C14" s="89" t="s">
        <v>135</v>
      </c>
      <c r="D14" s="30" t="s">
        <v>76</v>
      </c>
      <c r="E14" s="44" t="str">
        <f aca="false">VLOOKUP(D14,Level1_process_list[],2,0)</f>
        <v>PFR_L1</v>
      </c>
    </row>
    <row r="15" customFormat="false" ht="28.5" hidden="false" customHeight="false" outlineLevel="0" collapsed="false">
      <c r="A15" s="44" t="s">
        <v>136</v>
      </c>
      <c r="B15" s="30" t="s">
        <v>137</v>
      </c>
      <c r="C15" s="89" t="s">
        <v>138</v>
      </c>
      <c r="D15" s="30" t="s">
        <v>79</v>
      </c>
      <c r="E15" s="44" t="str">
        <f aca="false">VLOOKUP(D15,Level1_process_list[],2,0)</f>
        <v>MEC_L1</v>
      </c>
    </row>
    <row r="16" customFormat="false" ht="42.75" hidden="false" customHeight="false" outlineLevel="0" collapsed="false">
      <c r="A16" s="44" t="s">
        <v>139</v>
      </c>
      <c r="B16" s="30" t="s">
        <v>140</v>
      </c>
      <c r="C16" s="89" t="s">
        <v>141</v>
      </c>
      <c r="D16" s="30" t="s">
        <v>79</v>
      </c>
      <c r="E16" s="44" t="str">
        <f aca="false">VLOOKUP(D16,Level1_process_list[],2,0)</f>
        <v>MEC_L1</v>
      </c>
    </row>
    <row r="17" customFormat="false" ht="28.5" hidden="false" customHeight="false" outlineLevel="0" collapsed="false">
      <c r="A17" s="44" t="s">
        <v>142</v>
      </c>
      <c r="B17" s="30" t="s">
        <v>143</v>
      </c>
      <c r="C17" s="89" t="s">
        <v>144</v>
      </c>
      <c r="D17" s="30" t="s">
        <v>79</v>
      </c>
      <c r="E17" s="44" t="str">
        <f aca="false">VLOOKUP(D17,Level1_process_list[],2,0)</f>
        <v>MEC_L1</v>
      </c>
    </row>
    <row r="18" customFormat="false" ht="37.5" hidden="false" customHeight="true" outlineLevel="0" collapsed="false">
      <c r="A18" s="44" t="s">
        <v>145</v>
      </c>
      <c r="B18" s="30" t="s">
        <v>146</v>
      </c>
      <c r="C18" s="89" t="s">
        <v>147</v>
      </c>
      <c r="D18" s="30" t="s">
        <v>79</v>
      </c>
      <c r="E18" s="44" t="str">
        <f aca="false">VLOOKUP(D18,Level1_process_list[],2,0)</f>
        <v>MEC_L1</v>
      </c>
    </row>
    <row r="19" customFormat="false" ht="33.75" hidden="false" customHeight="true" outlineLevel="0" collapsed="false">
      <c r="A19" s="44" t="s">
        <v>148</v>
      </c>
      <c r="B19" s="30" t="s">
        <v>149</v>
      </c>
      <c r="C19" s="89" t="s">
        <v>150</v>
      </c>
      <c r="D19" s="30" t="s">
        <v>82</v>
      </c>
      <c r="E19" s="44" t="str">
        <f aca="false">VLOOKUP(D19,Level1_process_list[],2,0)</f>
        <v>BIO_L1</v>
      </c>
    </row>
    <row r="20" customFormat="false" ht="28.5" hidden="false" customHeight="false" outlineLevel="0" collapsed="false">
      <c r="A20" s="44" t="s">
        <v>151</v>
      </c>
      <c r="B20" s="30" t="s">
        <v>152</v>
      </c>
      <c r="C20" s="89" t="s">
        <v>153</v>
      </c>
      <c r="D20" s="30" t="s">
        <v>82</v>
      </c>
      <c r="E20" s="44" t="str">
        <f aca="false">VLOOKUP(D20,Level1_process_list[],2,0)</f>
        <v>BIO_L1</v>
      </c>
    </row>
    <row r="21" customFormat="false" ht="28.5" hidden="false" customHeight="false" outlineLevel="0" collapsed="false">
      <c r="A21" s="44" t="s">
        <v>154</v>
      </c>
      <c r="B21" s="30" t="s">
        <v>155</v>
      </c>
      <c r="C21" s="89" t="s">
        <v>156</v>
      </c>
      <c r="D21" s="30" t="s">
        <v>82</v>
      </c>
      <c r="E21" s="44" t="str">
        <f aca="false">VLOOKUP(D21,Level1_process_list[],2,0)</f>
        <v>BIO_L1</v>
      </c>
    </row>
    <row r="22" customFormat="false" ht="28.5" hidden="false" customHeight="false" outlineLevel="0" collapsed="false">
      <c r="A22" s="44" t="s">
        <v>157</v>
      </c>
      <c r="B22" s="30" t="s">
        <v>158</v>
      </c>
      <c r="C22" s="89" t="s">
        <v>159</v>
      </c>
      <c r="D22" s="30" t="s">
        <v>85</v>
      </c>
      <c r="E22" s="44" t="str">
        <f aca="false">VLOOKUP(D22,Level1_process_list[],2,0)</f>
        <v>THE_L1</v>
      </c>
    </row>
    <row r="23" customFormat="false" ht="14.25" hidden="false" customHeight="false" outlineLevel="0" collapsed="false">
      <c r="A23" s="44" t="s">
        <v>160</v>
      </c>
      <c r="B23" s="30" t="s">
        <v>161</v>
      </c>
      <c r="C23" s="45" t="s">
        <v>162</v>
      </c>
      <c r="D23" s="30" t="s">
        <v>85</v>
      </c>
      <c r="E23" s="44" t="str">
        <f aca="false">VLOOKUP(D23,Level1_process_list[],2,0)</f>
        <v>THE_L1</v>
      </c>
    </row>
    <row r="24" customFormat="false" ht="42.75" hidden="false" customHeight="false" outlineLevel="0" collapsed="false">
      <c r="A24" s="44" t="s">
        <v>163</v>
      </c>
      <c r="B24" s="30" t="s">
        <v>164</v>
      </c>
      <c r="C24" s="89" t="s">
        <v>165</v>
      </c>
      <c r="D24" s="30" t="s">
        <v>85</v>
      </c>
      <c r="E24" s="44" t="str">
        <f aca="false">VLOOKUP(D24,Level1_process_list[],2,0)</f>
        <v>THE_L1</v>
      </c>
    </row>
    <row r="25" customFormat="false" ht="28.5" hidden="false" customHeight="false" outlineLevel="0" collapsed="false">
      <c r="A25" s="44" t="s">
        <v>166</v>
      </c>
      <c r="B25" s="30" t="s">
        <v>167</v>
      </c>
      <c r="C25" s="89" t="s">
        <v>168</v>
      </c>
      <c r="D25" s="30" t="s">
        <v>85</v>
      </c>
      <c r="E25" s="44" t="str">
        <f aca="false">VLOOKUP(D25,Level1_process_list[],2,0)</f>
        <v>THE_L1</v>
      </c>
    </row>
    <row r="26" customFormat="false" ht="28.5" hidden="false" customHeight="false" outlineLevel="0" collapsed="false">
      <c r="A26" s="44" t="s">
        <v>169</v>
      </c>
      <c r="B26" s="30" t="s">
        <v>170</v>
      </c>
      <c r="C26" s="89" t="s">
        <v>171</v>
      </c>
      <c r="D26" s="30" t="s">
        <v>85</v>
      </c>
      <c r="E26" s="44" t="str">
        <f aca="false">VLOOKUP(D26,Level1_process_list[],2,0)</f>
        <v>THE_L1</v>
      </c>
      <c r="F26" s="44" t="s">
        <v>172</v>
      </c>
    </row>
    <row r="27" customFormat="false" ht="51.75" hidden="false" customHeight="true" outlineLevel="0" collapsed="false">
      <c r="A27" s="64" t="s">
        <v>173</v>
      </c>
      <c r="B27" s="30" t="s">
        <v>174</v>
      </c>
      <c r="C27" s="89" t="s">
        <v>175</v>
      </c>
      <c r="D27" s="30" t="s">
        <v>85</v>
      </c>
      <c r="E27" s="44" t="str">
        <f aca="false">VLOOKUP(D27,Level1_process_list[],2,0)</f>
        <v>THE_L1</v>
      </c>
      <c r="F27" s="44" t="s">
        <v>172</v>
      </c>
    </row>
    <row r="28" customFormat="false" ht="42.75" hidden="false" customHeight="false" outlineLevel="0" collapsed="false">
      <c r="A28" s="64" t="s">
        <v>176</v>
      </c>
      <c r="B28" s="30" t="s">
        <v>177</v>
      </c>
      <c r="C28" s="89" t="s">
        <v>178</v>
      </c>
      <c r="D28" s="30" t="s">
        <v>85</v>
      </c>
      <c r="E28" s="44" t="str">
        <f aca="false">VLOOKUP(D28,Level1_process_list[],2,0)</f>
        <v>THE_L1</v>
      </c>
      <c r="F28" s="44" t="s">
        <v>172</v>
      </c>
    </row>
    <row r="29" customFormat="false" ht="42.75" hidden="false" customHeight="false" outlineLevel="0" collapsed="false">
      <c r="A29" s="64" t="s">
        <v>179</v>
      </c>
      <c r="B29" s="30" t="s">
        <v>180</v>
      </c>
      <c r="C29" s="89" t="s">
        <v>181</v>
      </c>
      <c r="D29" s="30" t="s">
        <v>85</v>
      </c>
      <c r="E29" s="44" t="str">
        <f aca="false">VLOOKUP(D29,Level1_process_list[],2,0)</f>
        <v>THE_L1</v>
      </c>
      <c r="F29" s="44" t="s">
        <v>172</v>
      </c>
    </row>
    <row r="30" customFormat="false" ht="21" hidden="false" customHeight="true" outlineLevel="0" collapsed="false">
      <c r="A30" s="44" t="s">
        <v>182</v>
      </c>
      <c r="B30" s="30" t="s">
        <v>183</v>
      </c>
      <c r="C30" s="89" t="s">
        <v>184</v>
      </c>
      <c r="D30" s="30" t="s">
        <v>88</v>
      </c>
      <c r="E30" s="44" t="str">
        <f aca="false">VLOOKUP(D30,Level1_process_list[],2,0)</f>
        <v>CHE_L1</v>
      </c>
    </row>
    <row r="31" customFormat="false" ht="42.75" hidden="false" customHeight="false" outlineLevel="0" collapsed="false">
      <c r="A31" s="44" t="s">
        <v>185</v>
      </c>
      <c r="B31" s="30" t="s">
        <v>186</v>
      </c>
      <c r="C31" s="89" t="s">
        <v>187</v>
      </c>
      <c r="D31" s="30" t="s">
        <v>88</v>
      </c>
      <c r="E31" s="44" t="str">
        <f aca="false">VLOOKUP(D31,Level1_process_list[],2,0)</f>
        <v>CHE_L1</v>
      </c>
    </row>
    <row r="32" customFormat="false" ht="28.5" hidden="false" customHeight="false" outlineLevel="0" collapsed="false">
      <c r="A32" s="44" t="s">
        <v>188</v>
      </c>
      <c r="B32" s="30" t="s">
        <v>189</v>
      </c>
      <c r="C32" s="89" t="s">
        <v>190</v>
      </c>
      <c r="D32" s="30" t="s">
        <v>88</v>
      </c>
      <c r="E32" s="44" t="str">
        <f aca="false">VLOOKUP(D32,Level1_process_list[],2,0)</f>
        <v>CHE_L1</v>
      </c>
    </row>
    <row r="33" customFormat="false" ht="42.75" hidden="false" customHeight="false" outlineLevel="0" collapsed="false">
      <c r="A33" s="44" t="s">
        <v>191</v>
      </c>
      <c r="B33" s="30" t="s">
        <v>192</v>
      </c>
      <c r="C33" s="89" t="s">
        <v>193</v>
      </c>
      <c r="D33" s="30" t="s">
        <v>88</v>
      </c>
      <c r="E33" s="44" t="str">
        <f aca="false">VLOOKUP(D33,Level1_process_list[],2,0)</f>
        <v>CHE_L1</v>
      </c>
    </row>
    <row r="34" customFormat="false" ht="28.5" hidden="false" customHeight="false" outlineLevel="0" collapsed="false">
      <c r="A34" s="44" t="s">
        <v>194</v>
      </c>
      <c r="B34" s="30" t="s">
        <v>195</v>
      </c>
      <c r="C34" s="89" t="s">
        <v>196</v>
      </c>
      <c r="D34" s="30" t="s">
        <v>88</v>
      </c>
      <c r="E34" s="44" t="str">
        <f aca="false">VLOOKUP(D34,Level1_process_list[],2,0)</f>
        <v>CHE_L1</v>
      </c>
    </row>
    <row r="35" customFormat="false" ht="14.25" hidden="false" customHeight="false" outlineLevel="0" collapsed="false">
      <c r="A35" s="44" t="s">
        <v>197</v>
      </c>
      <c r="B35" s="30" t="s">
        <v>198</v>
      </c>
      <c r="C35" s="89" t="s">
        <v>199</v>
      </c>
      <c r="D35" s="30" t="s">
        <v>88</v>
      </c>
      <c r="E35" s="44" t="str">
        <f aca="false">VLOOKUP(D35,Level1_process_list[],2,0)</f>
        <v>CHE_L1</v>
      </c>
    </row>
    <row r="36" customFormat="false" ht="28.5" hidden="false" customHeight="false" outlineLevel="0" collapsed="false">
      <c r="A36" s="64" t="s">
        <v>61</v>
      </c>
      <c r="B36" s="30" t="s">
        <v>200</v>
      </c>
      <c r="C36" s="89" t="s">
        <v>201</v>
      </c>
      <c r="D36" s="30" t="s">
        <v>88</v>
      </c>
      <c r="E36" s="44" t="str">
        <f aca="false">VLOOKUP(D36,Level1_process_list[],2,0)</f>
        <v>CHE_L1</v>
      </c>
      <c r="F36" s="44" t="s">
        <v>202</v>
      </c>
    </row>
    <row r="37" customFormat="false" ht="42.75" hidden="false" customHeight="false" outlineLevel="0" collapsed="false">
      <c r="A37" s="64" t="s">
        <v>62</v>
      </c>
      <c r="B37" s="30" t="s">
        <v>203</v>
      </c>
      <c r="C37" s="89" t="s">
        <v>204</v>
      </c>
      <c r="D37" s="30" t="s">
        <v>88</v>
      </c>
      <c r="E37" s="44" t="str">
        <f aca="false">VLOOKUP(D37,Level1_process_list[],2,0)</f>
        <v>CHE_L1</v>
      </c>
      <c r="F37" s="44" t="s">
        <v>202</v>
      </c>
    </row>
    <row r="38" customFormat="false" ht="42.75" hidden="false" customHeight="false" outlineLevel="0" collapsed="false">
      <c r="A38" s="64" t="s">
        <v>63</v>
      </c>
      <c r="B38" s="30" t="s">
        <v>205</v>
      </c>
      <c r="C38" s="89" t="s">
        <v>206</v>
      </c>
      <c r="D38" s="30" t="s">
        <v>88</v>
      </c>
      <c r="E38" s="44" t="str">
        <f aca="false">VLOOKUP(D38,Level1_process_list[],2,0)</f>
        <v>CHE_L1</v>
      </c>
      <c r="F38" s="44" t="s">
        <v>202</v>
      </c>
    </row>
    <row r="39" customFormat="false" ht="28.5" hidden="false" customHeight="false" outlineLevel="0" collapsed="false">
      <c r="A39" s="64" t="s">
        <v>64</v>
      </c>
      <c r="B39" s="30" t="s">
        <v>207</v>
      </c>
      <c r="C39" s="89" t="s">
        <v>208</v>
      </c>
      <c r="D39" s="30" t="s">
        <v>88</v>
      </c>
      <c r="E39" s="44" t="str">
        <f aca="false">VLOOKUP(D39,Level1_process_list[],2,0)</f>
        <v>CHE_L1</v>
      </c>
      <c r="F39" s="44" t="s">
        <v>202</v>
      </c>
    </row>
    <row r="40" customFormat="false" ht="14.25" hidden="false" customHeight="false" outlineLevel="0" collapsed="false">
      <c r="A40" s="44" t="s">
        <v>209</v>
      </c>
      <c r="B40" s="30" t="s">
        <v>210</v>
      </c>
      <c r="C40" s="89" t="s">
        <v>211</v>
      </c>
      <c r="D40" s="30" t="s">
        <v>91</v>
      </c>
      <c r="E40" s="44" t="str">
        <f aca="false">VLOOKUP(D40,Level1_process_list[],2,0)</f>
        <v>DIS_L1</v>
      </c>
    </row>
    <row r="41" customFormat="false" ht="28.5" hidden="false" customHeight="false" outlineLevel="0" collapsed="false">
      <c r="A41" s="44" t="s">
        <v>212</v>
      </c>
      <c r="B41" s="30" t="s">
        <v>213</v>
      </c>
      <c r="C41" s="89" t="s">
        <v>214</v>
      </c>
      <c r="D41" s="30" t="s">
        <v>91</v>
      </c>
      <c r="E41" s="44" t="str">
        <f aca="false">VLOOKUP(D41,Level1_process_list[],2,0)</f>
        <v>DIS_L1</v>
      </c>
    </row>
    <row r="42" customFormat="false" ht="28.5" hidden="false" customHeight="false" outlineLevel="0" collapsed="false">
      <c r="A42" s="44" t="s">
        <v>215</v>
      </c>
      <c r="B42" s="30" t="s">
        <v>216</v>
      </c>
      <c r="C42" s="89" t="s">
        <v>217</v>
      </c>
      <c r="D42" s="30" t="s">
        <v>91</v>
      </c>
      <c r="E42" s="44" t="str">
        <f aca="false">VLOOKUP(D42,Level1_process_list[],2,0)</f>
        <v>DIS_L1</v>
      </c>
    </row>
    <row r="43" customFormat="false" ht="28.5" hidden="false" customHeight="false" outlineLevel="0" collapsed="false">
      <c r="A43" s="44" t="s">
        <v>218</v>
      </c>
      <c r="B43" s="30" t="s">
        <v>219</v>
      </c>
      <c r="C43" s="89" t="s">
        <v>220</v>
      </c>
      <c r="D43" s="30" t="s">
        <v>91</v>
      </c>
      <c r="E43" s="44" t="str">
        <f aca="false">VLOOKUP(D43,Level1_process_list[],2,0)</f>
        <v>DIS_L1</v>
      </c>
    </row>
    <row r="44" customFormat="false" ht="14.25" hidden="false" customHeight="false" outlineLevel="0" collapsed="false">
      <c r="A44" s="44" t="s">
        <v>221</v>
      </c>
      <c r="B44" s="30"/>
      <c r="D44" s="30"/>
      <c r="E44" s="44" t="e">
        <f aca="false">VLOOKUP(D44,Level1_process_list[],2,0)</f>
        <v>#N/A</v>
      </c>
    </row>
    <row r="45" customFormat="false" ht="14.25" hidden="false" customHeight="false" outlineLevel="0" collapsed="false">
      <c r="B45" s="30"/>
    </row>
    <row r="46" customFormat="false" ht="14.25" hidden="false" customHeight="false" outlineLevel="0" collapsed="false">
      <c r="A46" s="44" t="s">
        <v>222</v>
      </c>
      <c r="B46" s="30" t="s">
        <v>223</v>
      </c>
    </row>
    <row r="47" customFormat="false" ht="14.25" hidden="false" customHeight="false" outlineLevel="0" collapsed="false">
      <c r="B47" s="30"/>
    </row>
    <row r="48" customFormat="false" ht="14.25" hidden="false" customHeight="false" outlineLevel="0" collapsed="false">
      <c r="B48" s="30"/>
    </row>
    <row r="49" customFormat="false" ht="14.25" hidden="false" customHeight="false" outlineLevel="0" collapsed="false">
      <c r="B49" s="30"/>
    </row>
    <row r="50" customFormat="false" ht="14.25" hidden="false" customHeight="false" outlineLevel="0" collapsed="false">
      <c r="B50" s="30"/>
    </row>
    <row r="51" customFormat="false" ht="14.25" hidden="false" customHeight="false" outlineLevel="0" collapsed="false">
      <c r="B51" s="30"/>
    </row>
    <row r="52" customFormat="false" ht="14.25" hidden="false" customHeight="false" outlineLevel="0" collapsed="false">
      <c r="B52" s="30"/>
    </row>
    <row r="53" customFormat="false" ht="14.25" hidden="false" customHeight="false" outlineLevel="0" collapsed="false">
      <c r="B53" s="30"/>
    </row>
    <row r="54" customFormat="false" ht="14.25" hidden="false" customHeight="false" outlineLevel="0" collapsed="false">
      <c r="B54" s="30"/>
    </row>
    <row r="55" customFormat="false" ht="14.25" hidden="false" customHeight="false" outlineLevel="0" collapsed="false">
      <c r="B55" s="30"/>
    </row>
    <row r="56" customFormat="false" ht="14.25" hidden="false" customHeight="false" outlineLevel="0" collapsed="false">
      <c r="B56" s="30"/>
    </row>
    <row r="57" customFormat="false" ht="14.25" hidden="false" customHeight="false" outlineLevel="0" collapsed="false">
      <c r="B57" s="30"/>
    </row>
    <row r="58" customFormat="false" ht="14.25" hidden="false" customHeight="false" outlineLevel="0" collapsed="false">
      <c r="B58" s="30"/>
    </row>
    <row r="59" customFormat="false" ht="14.25" hidden="false" customHeight="false" outlineLevel="0" collapsed="false">
      <c r="B59" s="30"/>
    </row>
    <row r="60" customFormat="false" ht="14.25" hidden="false" customHeight="false" outlineLevel="0" collapsed="false">
      <c r="B60" s="30"/>
    </row>
    <row r="61" customFormat="false" ht="14.25" hidden="false" customHeight="false" outlineLevel="0" collapsed="false">
      <c r="B61" s="30"/>
    </row>
    <row r="62" customFormat="false" ht="14.25" hidden="false" customHeight="false" outlineLevel="0" collapsed="false">
      <c r="B62" s="30"/>
    </row>
    <row r="63" customFormat="false" ht="14.25" hidden="false" customHeight="false" outlineLevel="0" collapsed="false">
      <c r="B63" s="30"/>
    </row>
    <row r="64" customFormat="false" ht="14.25" hidden="false" customHeight="false" outlineLevel="0" collapsed="false">
      <c r="B64" s="30"/>
    </row>
    <row r="65" customFormat="false" ht="14.25" hidden="false" customHeight="false" outlineLevel="0" collapsed="false">
      <c r="B65" s="30"/>
    </row>
    <row r="66" customFormat="false" ht="14.25" hidden="false" customHeight="false" outlineLevel="0" collapsed="false">
      <c r="B66" s="30"/>
    </row>
    <row r="67" customFormat="false" ht="14.25" hidden="false" customHeight="false" outlineLevel="0" collapsed="false">
      <c r="B67" s="30"/>
    </row>
    <row r="68" customFormat="false" ht="14.25" hidden="false" customHeight="false" outlineLevel="0" collapsed="false">
      <c r="B68" s="30"/>
    </row>
    <row r="69" customFormat="false" ht="14.25" hidden="false" customHeight="false" outlineLevel="0" collapsed="false">
      <c r="B69" s="30"/>
    </row>
    <row r="70" customFormat="false" ht="14.25" hidden="false" customHeight="false" outlineLevel="0" collapsed="false">
      <c r="B70" s="30"/>
    </row>
    <row r="71" customFormat="false" ht="14.25" hidden="false" customHeight="false" outlineLevel="0" collapsed="false">
      <c r="B71" s="30"/>
    </row>
    <row r="72" customFormat="false" ht="14.25" hidden="false" customHeight="false" outlineLevel="0" collapsed="false">
      <c r="B72" s="30"/>
    </row>
    <row r="73" customFormat="false" ht="14.25" hidden="false" customHeight="false" outlineLevel="0" collapsed="false">
      <c r="B73" s="30"/>
    </row>
    <row r="74" customFormat="false" ht="14.25" hidden="false" customHeight="false" outlineLevel="0" collapsed="false">
      <c r="B74" s="30"/>
    </row>
    <row r="75" customFormat="false" ht="14.25" hidden="false" customHeight="false" outlineLevel="0" collapsed="false">
      <c r="B75" s="30"/>
    </row>
    <row r="76" customFormat="false" ht="14.25" hidden="false" customHeight="false" outlineLevel="0" collapsed="false">
      <c r="B76" s="30"/>
    </row>
    <row r="77" customFormat="false" ht="14.25" hidden="false" customHeight="false" outlineLevel="0" collapsed="false">
      <c r="B77" s="30"/>
    </row>
    <row r="78" customFormat="false" ht="14.25" hidden="false" customHeight="false" outlineLevel="0" collapsed="false">
      <c r="B78" s="30"/>
    </row>
    <row r="79" customFormat="false" ht="14.25" hidden="false" customHeight="false" outlineLevel="0" collapsed="false">
      <c r="B79" s="30"/>
    </row>
    <row r="80" customFormat="false" ht="14.25" hidden="false" customHeight="false" outlineLevel="0" collapsed="false">
      <c r="B80" s="30"/>
    </row>
    <row r="81" customFormat="false" ht="14.25" hidden="false" customHeight="false" outlineLevel="0" collapsed="false">
      <c r="B81" s="30"/>
    </row>
    <row r="82" customFormat="false" ht="14.25" hidden="false" customHeight="false" outlineLevel="0" collapsed="false">
      <c r="B82" s="30"/>
    </row>
    <row r="83" customFormat="false" ht="14.25" hidden="false" customHeight="false" outlineLevel="0" collapsed="false">
      <c r="B83" s="30"/>
    </row>
    <row r="84" customFormat="false" ht="14.25" hidden="false" customHeight="false" outlineLevel="0" collapsed="false">
      <c r="B84" s="30"/>
    </row>
    <row r="85" customFormat="false" ht="14.25" hidden="false" customHeight="false" outlineLevel="0" collapsed="false">
      <c r="B85" s="30"/>
    </row>
    <row r="86" customFormat="false" ht="14.25" hidden="false" customHeight="false" outlineLevel="0" collapsed="false">
      <c r="B86" s="30"/>
    </row>
    <row r="87" customFormat="false" ht="14.25" hidden="false" customHeight="false" outlineLevel="0" collapsed="false">
      <c r="B87" s="30"/>
    </row>
    <row r="88" customFormat="false" ht="14.25" hidden="false" customHeight="false" outlineLevel="0" collapsed="false">
      <c r="B88" s="30"/>
    </row>
    <row r="89" customFormat="false" ht="14.25" hidden="false" customHeight="false" outlineLevel="0" collapsed="false">
      <c r="B89" s="30"/>
    </row>
    <row r="90" customFormat="false" ht="14.25" hidden="false" customHeight="false" outlineLevel="0" collapsed="false">
      <c r="B90" s="30"/>
    </row>
    <row r="91" customFormat="false" ht="14.25" hidden="false" customHeight="false" outlineLevel="0" collapsed="false">
      <c r="B91" s="30"/>
    </row>
    <row r="92" customFormat="false" ht="14.25" hidden="false" customHeight="false" outlineLevel="0" collapsed="false">
      <c r="B92" s="30"/>
    </row>
    <row r="93" customFormat="false" ht="14.25" hidden="false" customHeight="false" outlineLevel="0" collapsed="false">
      <c r="B93" s="30"/>
    </row>
    <row r="94" customFormat="false" ht="14.25" hidden="false" customHeight="false" outlineLevel="0" collapsed="false">
      <c r="B94" s="30"/>
    </row>
    <row r="95" customFormat="false" ht="14.25" hidden="false" customHeight="false" outlineLevel="0" collapsed="false">
      <c r="B95" s="30"/>
    </row>
    <row r="96" customFormat="false" ht="14.25" hidden="false" customHeight="false" outlineLevel="0" collapsed="false">
      <c r="B96" s="30"/>
    </row>
    <row r="97" customFormat="false" ht="14.25" hidden="false" customHeight="false" outlineLevel="0" collapsed="false">
      <c r="B97" s="30"/>
    </row>
    <row r="98" customFormat="false" ht="14.25" hidden="false" customHeight="false" outlineLevel="0" collapsed="false">
      <c r="B98" s="30"/>
    </row>
    <row r="99" customFormat="false" ht="14.25" hidden="false" customHeight="false" outlineLevel="0" collapsed="false">
      <c r="B99" s="30"/>
    </row>
    <row r="100" customFormat="false" ht="14.25" hidden="false" customHeight="false" outlineLevel="0" collapsed="false">
      <c r="B100" s="30"/>
    </row>
    <row r="101" customFormat="false" ht="14.25" hidden="false" customHeight="false" outlineLevel="0" collapsed="false">
      <c r="B101" s="30"/>
    </row>
  </sheetData>
  <dataValidations count="3">
    <dataValidation allowBlank="true" errorStyle="stop" operator="between" showDropDown="false" showErrorMessage="true" showInputMessage="true" sqref="D2:D44" type="list">
      <formula1>level1_dropdw</formula1>
      <formula2>0</formula2>
    </dataValidation>
    <dataValidation allowBlank="true" error="The code already exists! Please create an individual code. " errorStyle="stop" errorTitle="*0*" operator="between" showDropDown="false" showErrorMessage="true" showInputMessage="true" sqref="B2:B11 B13:B101" type="custom">
      <formula1>COUNTIF($B$2:$B$101,B2)=1</formula1>
      <formula2>0</formula2>
    </dataValidation>
    <dataValidation allowBlank="true" error="The code already exists! Please create an individual code. " errorStyle="stop" errorTitle=":(" operator="between" showDropDown="false" showErrorMessage="true" showInputMessage="true" sqref="B12" type="custom">
      <formula1>COUNTIF($B$2:$B$498,B12)=1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49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13" activeCellId="0" sqref="H13"/>
    </sheetView>
  </sheetViews>
  <sheetFormatPr defaultColWidth="8.859375" defaultRowHeight="14.25" zeroHeight="false" outlineLevelRow="0" outlineLevelCol="0"/>
  <cols>
    <col collapsed="false" customWidth="true" hidden="false" outlineLevel="0" max="1" min="1" style="0" width="36.42"/>
    <col collapsed="false" customWidth="true" hidden="false" outlineLevel="0" max="2" min="2" style="0" width="13.42"/>
    <col collapsed="false" customWidth="true" hidden="false" outlineLevel="0" max="3" min="3" style="81" width="64.43"/>
    <col collapsed="false" customWidth="true" hidden="false" outlineLevel="0" max="4" min="4" style="0" width="18.14"/>
    <col collapsed="false" customWidth="true" hidden="false" outlineLevel="0" max="5" min="5" style="0" width="9.42"/>
    <col collapsed="false" customWidth="true" hidden="false" outlineLevel="0" max="6" min="6" style="0" width="28.86"/>
    <col collapsed="false" customWidth="true" hidden="false" outlineLevel="0" max="7" min="7" style="0" width="9"/>
    <col collapsed="false" customWidth="true" hidden="false" outlineLevel="0" max="8" min="8" style="0" width="13.15"/>
  </cols>
  <sheetData>
    <row r="1" customFormat="false" ht="14.25" hidden="false" customHeight="false" outlineLevel="0" collapsed="false">
      <c r="A1" s="90" t="s">
        <v>59</v>
      </c>
      <c r="B1" s="83" t="s">
        <v>224</v>
      </c>
      <c r="C1" s="84" t="s">
        <v>57</v>
      </c>
      <c r="D1" s="91" t="s">
        <v>58</v>
      </c>
      <c r="E1" s="92" t="s">
        <v>94</v>
      </c>
      <c r="F1" s="91" t="s">
        <v>95</v>
      </c>
      <c r="G1" s="93" t="s">
        <v>66</v>
      </c>
      <c r="H1" s="94" t="s">
        <v>6</v>
      </c>
    </row>
    <row r="2" customFormat="false" ht="28.5" hidden="false" customHeight="false" outlineLevel="0" collapsed="false">
      <c r="A2" s="0" t="s">
        <v>225</v>
      </c>
      <c r="B2" s="94" t="s">
        <v>226</v>
      </c>
      <c r="C2" s="81" t="s">
        <v>227</v>
      </c>
      <c r="D2" s="94" t="s">
        <v>96</v>
      </c>
      <c r="E2" s="0" t="str">
        <f aca="false">VLOOKUP(D2,Level2_process_list[],2,0)</f>
        <v>SME_L2</v>
      </c>
      <c r="F2" s="0" t="str">
        <f aca="false">VLOOKUP(D2,Level2_process_list[],4,0)</f>
        <v>production</v>
      </c>
      <c r="G2" s="0" t="str">
        <f aca="false">VLOOKUP(D2,Level2_process_list[],5,0)</f>
        <v>PRO_L1</v>
      </c>
    </row>
    <row r="3" customFormat="false" ht="28.5" hidden="false" customHeight="false" outlineLevel="0" collapsed="false">
      <c r="A3" s="0" t="s">
        <v>228</v>
      </c>
      <c r="B3" s="94" t="s">
        <v>229</v>
      </c>
      <c r="C3" s="81" t="s">
        <v>230</v>
      </c>
      <c r="D3" s="94" t="s">
        <v>96</v>
      </c>
      <c r="E3" s="0" t="str">
        <f aca="false">VLOOKUP(D3,Level2_process_list[],2,0)</f>
        <v>SME_L2</v>
      </c>
      <c r="F3" s="0" t="str">
        <f aca="false">VLOOKUP(D3,Level2_process_list[],4,0)</f>
        <v>production</v>
      </c>
      <c r="G3" s="0" t="str">
        <f aca="false">VLOOKUP(D3,Level2_process_list[],5,0)</f>
        <v>PRO_L1</v>
      </c>
    </row>
    <row r="4" customFormat="false" ht="28.5" hidden="false" customHeight="false" outlineLevel="0" collapsed="false">
      <c r="A4" s="0" t="s">
        <v>231</v>
      </c>
      <c r="B4" s="94" t="s">
        <v>232</v>
      </c>
      <c r="C4" s="81" t="s">
        <v>233</v>
      </c>
      <c r="D4" s="94" t="s">
        <v>96</v>
      </c>
      <c r="E4" s="0" t="str">
        <f aca="false">VLOOKUP(D4,Level2_process_list[],2,0)</f>
        <v>SME_L2</v>
      </c>
      <c r="F4" s="0" t="str">
        <f aca="false">VLOOKUP(D4,Level2_process_list[],4,0)</f>
        <v>production</v>
      </c>
      <c r="G4" s="0" t="str">
        <f aca="false">VLOOKUP(D4,Level2_process_list[],5,0)</f>
        <v>PRO_L1</v>
      </c>
    </row>
    <row r="5" customFormat="false" ht="28.5" hidden="false" customHeight="false" outlineLevel="0" collapsed="false">
      <c r="A5" s="0" t="s">
        <v>234</v>
      </c>
      <c r="B5" s="94" t="s">
        <v>235</v>
      </c>
      <c r="C5" s="81" t="s">
        <v>236</v>
      </c>
      <c r="D5" s="94" t="s">
        <v>96</v>
      </c>
      <c r="E5" s="0" t="str">
        <f aca="false">VLOOKUP(D5,Level2_process_list[],2,0)</f>
        <v>SME_L2</v>
      </c>
      <c r="F5" s="0" t="str">
        <f aca="false">VLOOKUP(D5,Level2_process_list[],4,0)</f>
        <v>production</v>
      </c>
      <c r="G5" s="0" t="str">
        <f aca="false">VLOOKUP(D5,Level2_process_list[],5,0)</f>
        <v>PRO_L1</v>
      </c>
    </row>
    <row r="6" customFormat="false" ht="28.5" hidden="false" customHeight="false" outlineLevel="0" collapsed="false">
      <c r="A6" s="0" t="s">
        <v>237</v>
      </c>
      <c r="B6" s="94" t="s">
        <v>238</v>
      </c>
      <c r="C6" s="81" t="s">
        <v>239</v>
      </c>
      <c r="D6" s="94" t="s">
        <v>96</v>
      </c>
      <c r="E6" s="0" t="str">
        <f aca="false">VLOOKUP(D6,Level2_process_list[],2,0)</f>
        <v>SME_L2</v>
      </c>
      <c r="F6" s="0" t="str">
        <f aca="false">VLOOKUP(D6,Level2_process_list[],4,0)</f>
        <v>production</v>
      </c>
      <c r="G6" s="0" t="str">
        <f aca="false">VLOOKUP(D6,Level2_process_list[],5,0)</f>
        <v>PRO_L1</v>
      </c>
    </row>
    <row r="7" customFormat="false" ht="14.25" hidden="false" customHeight="false" outlineLevel="0" collapsed="false">
      <c r="A7" s="0" t="s">
        <v>240</v>
      </c>
      <c r="B7" s="94" t="s">
        <v>241</v>
      </c>
      <c r="C7" s="85" t="s">
        <v>242</v>
      </c>
      <c r="D7" s="94" t="s">
        <v>136</v>
      </c>
      <c r="E7" s="0" t="str">
        <f aca="false">VLOOKUP(D7,Level2_process_list[],2,0)</f>
        <v>COM_L2</v>
      </c>
      <c r="F7" s="0" t="str">
        <f aca="false">VLOOKUP(D7,Level2_process_list[],4,0)</f>
        <v>mechanical recovery processes</v>
      </c>
      <c r="G7" s="0" t="str">
        <f aca="false">VLOOKUP(D7,Level2_process_list[],5,0)</f>
        <v>MEC_L1</v>
      </c>
    </row>
    <row r="8" customFormat="false" ht="14.25" hidden="false" customHeight="false" outlineLevel="0" collapsed="false">
      <c r="A8" s="0" t="s">
        <v>243</v>
      </c>
      <c r="B8" s="94" t="s">
        <v>244</v>
      </c>
      <c r="C8" s="81" t="s">
        <v>245</v>
      </c>
      <c r="D8" s="94" t="s">
        <v>136</v>
      </c>
      <c r="E8" s="0" t="str">
        <f aca="false">VLOOKUP(D8,Level2_process_list[],2,0)</f>
        <v>COM_L2</v>
      </c>
      <c r="F8" s="0" t="str">
        <f aca="false">VLOOKUP(D8,Level2_process_list[],4,0)</f>
        <v>mechanical recovery processes</v>
      </c>
      <c r="G8" s="0" t="str">
        <f aca="false">VLOOKUP(D8,Level2_process_list[],5,0)</f>
        <v>MEC_L1</v>
      </c>
    </row>
    <row r="9" customFormat="false" ht="14.25" hidden="false" customHeight="false" outlineLevel="0" collapsed="false">
      <c r="A9" s="0" t="s">
        <v>246</v>
      </c>
      <c r="B9" s="94" t="s">
        <v>247</v>
      </c>
      <c r="C9" s="81" t="s">
        <v>248</v>
      </c>
      <c r="D9" s="94" t="s">
        <v>136</v>
      </c>
      <c r="E9" s="0" t="str">
        <f aca="false">VLOOKUP(D9,Level2_process_list[],2,0)</f>
        <v>COM_L2</v>
      </c>
      <c r="F9" s="0" t="str">
        <f aca="false">VLOOKUP(D9,Level2_process_list[],4,0)</f>
        <v>mechanical recovery processes</v>
      </c>
      <c r="G9" s="0" t="str">
        <f aca="false">VLOOKUP(D9,Level2_process_list[],5,0)</f>
        <v>MEC_L1</v>
      </c>
    </row>
    <row r="10" customFormat="false" ht="14.25" hidden="false" customHeight="false" outlineLevel="0" collapsed="false">
      <c r="A10" s="0" t="s">
        <v>249</v>
      </c>
      <c r="B10" s="94" t="s">
        <v>250</v>
      </c>
      <c r="C10" s="81" t="s">
        <v>251</v>
      </c>
      <c r="D10" s="94" t="s">
        <v>136</v>
      </c>
      <c r="E10" s="0" t="str">
        <f aca="false">VLOOKUP(D10,Level2_process_list[],2,0)</f>
        <v>COM_L2</v>
      </c>
      <c r="F10" s="0" t="str">
        <f aca="false">VLOOKUP(D10,Level2_process_list[],4,0)</f>
        <v>mechanical recovery processes</v>
      </c>
      <c r="G10" s="0" t="str">
        <f aca="false">VLOOKUP(D10,Level2_process_list[],5,0)</f>
        <v>MEC_L1</v>
      </c>
    </row>
    <row r="11" customFormat="false" ht="28.5" hidden="false" customHeight="false" outlineLevel="0" collapsed="false">
      <c r="A11" s="0" t="s">
        <v>252</v>
      </c>
      <c r="B11" s="94" t="s">
        <v>253</v>
      </c>
      <c r="C11" s="81" t="s">
        <v>254</v>
      </c>
      <c r="D11" s="94" t="s">
        <v>139</v>
      </c>
      <c r="E11" s="0" t="str">
        <f aca="false">VLOOKUP(D11,Level2_process_list[],2,0)</f>
        <v>SEP_L2</v>
      </c>
      <c r="F11" s="0" t="str">
        <f aca="false">VLOOKUP(D11,Level2_process_list[],4,0)</f>
        <v>mechanical recovery processes</v>
      </c>
      <c r="G11" s="0" t="str">
        <f aca="false">VLOOKUP(D11,Level2_process_list[],5,0)</f>
        <v>MEC_L1</v>
      </c>
      <c r="H11" s="0" t="s">
        <v>255</v>
      </c>
    </row>
    <row r="12" customFormat="false" ht="28.5" hidden="false" customHeight="false" outlineLevel="0" collapsed="false">
      <c r="A12" s="0" t="s">
        <v>256</v>
      </c>
      <c r="B12" s="94" t="s">
        <v>257</v>
      </c>
      <c r="C12" s="85" t="s">
        <v>258</v>
      </c>
      <c r="D12" s="94" t="s">
        <v>139</v>
      </c>
      <c r="E12" s="0" t="str">
        <f aca="false">VLOOKUP(D12,Level2_process_list[],2,0)</f>
        <v>SEP_L2</v>
      </c>
      <c r="F12" s="0" t="str">
        <f aca="false">VLOOKUP(D12,Level2_process_list[],4,0)</f>
        <v>mechanical recovery processes</v>
      </c>
      <c r="G12" s="0" t="str">
        <f aca="false">VLOOKUP(D12,Level2_process_list[],5,0)</f>
        <v>MEC_L1</v>
      </c>
      <c r="H12" s="0" t="s">
        <v>259</v>
      </c>
    </row>
    <row r="13" customFormat="false" ht="33" hidden="false" customHeight="true" outlineLevel="0" collapsed="false">
      <c r="A13" s="0" t="s">
        <v>260</v>
      </c>
      <c r="B13" s="94" t="s">
        <v>261</v>
      </c>
      <c r="C13" s="85" t="s">
        <v>262</v>
      </c>
      <c r="D13" s="94" t="s">
        <v>139</v>
      </c>
      <c r="E13" s="0" t="str">
        <f aca="false">VLOOKUP(D13,Level2_process_list[],2,0)</f>
        <v>SEP_L2</v>
      </c>
      <c r="F13" s="0" t="str">
        <f aca="false">VLOOKUP(D13,Level2_process_list[],4,0)</f>
        <v>mechanical recovery processes</v>
      </c>
      <c r="G13" s="0" t="str">
        <f aca="false">VLOOKUP(D13,Level2_process_list[],5,0)</f>
        <v>MEC_L1</v>
      </c>
      <c r="H13" s="0" t="s">
        <v>255</v>
      </c>
    </row>
    <row r="14" customFormat="false" ht="33" hidden="false" customHeight="true" outlineLevel="0" collapsed="false">
      <c r="A14" s="0" t="s">
        <v>263</v>
      </c>
      <c r="B14" s="94" t="s">
        <v>264</v>
      </c>
      <c r="C14" s="85" t="s">
        <v>265</v>
      </c>
      <c r="D14" s="94" t="s">
        <v>139</v>
      </c>
      <c r="E14" s="0" t="str">
        <f aca="false">VLOOKUP(D14,Level2_process_list[],2,0)</f>
        <v>SEP_L2</v>
      </c>
      <c r="F14" s="0" t="str">
        <f aca="false">VLOOKUP(D14,Level2_process_list[],4,0)</f>
        <v>mechanical recovery processes</v>
      </c>
      <c r="G14" s="0" t="str">
        <f aca="false">VLOOKUP(D14,Level2_process_list[],5,0)</f>
        <v>MEC_L1</v>
      </c>
      <c r="H14" s="0" t="s">
        <v>172</v>
      </c>
    </row>
    <row r="15" customFormat="false" ht="28.5" hidden="false" customHeight="false" outlineLevel="0" collapsed="false">
      <c r="A15" s="0" t="s">
        <v>266</v>
      </c>
      <c r="B15" s="94" t="s">
        <v>267</v>
      </c>
      <c r="C15" s="85" t="s">
        <v>268</v>
      </c>
      <c r="D15" s="94" t="s">
        <v>139</v>
      </c>
      <c r="E15" s="0" t="str">
        <f aca="false">VLOOKUP(D15,Level2_process_list[],2,0)</f>
        <v>SEP_L2</v>
      </c>
      <c r="F15" s="0" t="str">
        <f aca="false">VLOOKUP(D15,Level2_process_list[],4,0)</f>
        <v>mechanical recovery processes</v>
      </c>
      <c r="G15" s="0" t="str">
        <f aca="false">VLOOKUP(D15,Level2_process_list[],5,0)</f>
        <v>MEC_L1</v>
      </c>
    </row>
    <row r="16" customFormat="false" ht="42.75" hidden="false" customHeight="false" outlineLevel="0" collapsed="false">
      <c r="A16" s="0" t="s">
        <v>269</v>
      </c>
      <c r="B16" s="94" t="s">
        <v>270</v>
      </c>
      <c r="C16" s="85" t="s">
        <v>271</v>
      </c>
      <c r="D16" s="94" t="s">
        <v>139</v>
      </c>
      <c r="E16" s="0" t="str">
        <f aca="false">VLOOKUP(D16,Level2_process_list[],2,0)</f>
        <v>SEP_L2</v>
      </c>
      <c r="F16" s="0" t="str">
        <f aca="false">VLOOKUP(D16,Level2_process_list[],4,0)</f>
        <v>mechanical recovery processes</v>
      </c>
      <c r="G16" s="0" t="str">
        <f aca="false">VLOOKUP(D16,Level2_process_list[],5,0)</f>
        <v>MEC_L1</v>
      </c>
    </row>
    <row r="17" customFormat="false" ht="28.5" hidden="false" customHeight="false" outlineLevel="0" collapsed="false">
      <c r="A17" s="0" t="s">
        <v>272</v>
      </c>
      <c r="B17" s="94" t="s">
        <v>273</v>
      </c>
      <c r="C17" s="85" t="s">
        <v>274</v>
      </c>
      <c r="D17" s="94" t="s">
        <v>139</v>
      </c>
      <c r="E17" s="0" t="str">
        <f aca="false">VLOOKUP(D17,Level2_process_list[],2,0)</f>
        <v>SEP_L2</v>
      </c>
      <c r="F17" s="0" t="str">
        <f aca="false">VLOOKUP(D17,Level2_process_list[],4,0)</f>
        <v>mechanical recovery processes</v>
      </c>
      <c r="G17" s="0" t="str">
        <f aca="false">VLOOKUP(D17,Level2_process_list[],5,0)</f>
        <v>MEC_L1</v>
      </c>
    </row>
    <row r="18" customFormat="false" ht="28.5" hidden="false" customHeight="false" outlineLevel="0" collapsed="false">
      <c r="A18" s="0" t="s">
        <v>275</v>
      </c>
      <c r="B18" s="94" t="s">
        <v>276</v>
      </c>
      <c r="C18" s="85" t="s">
        <v>277</v>
      </c>
      <c r="D18" s="94" t="s">
        <v>139</v>
      </c>
      <c r="E18" s="0" t="str">
        <f aca="false">VLOOKUP(D18,Level2_process_list[],2,0)</f>
        <v>SEP_L2</v>
      </c>
      <c r="F18" s="0" t="str">
        <f aca="false">VLOOKUP(D18,Level2_process_list[],4,0)</f>
        <v>mechanical recovery processes</v>
      </c>
      <c r="G18" s="0" t="str">
        <f aca="false">VLOOKUP(D18,Level2_process_list[],5,0)</f>
        <v>MEC_L1</v>
      </c>
    </row>
    <row r="19" customFormat="false" ht="42.75" hidden="false" customHeight="false" outlineLevel="0" collapsed="false">
      <c r="A19" s="0" t="s">
        <v>278</v>
      </c>
      <c r="B19" s="94" t="s">
        <v>279</v>
      </c>
      <c r="C19" s="85" t="s">
        <v>280</v>
      </c>
      <c r="D19" s="94" t="s">
        <v>139</v>
      </c>
      <c r="E19" s="0" t="str">
        <f aca="false">VLOOKUP(D19,Level2_process_list[],2,0)</f>
        <v>SEP_L2</v>
      </c>
      <c r="F19" s="0" t="str">
        <f aca="false">VLOOKUP(D19,Level2_process_list[],4,0)</f>
        <v>mechanical recovery processes</v>
      </c>
      <c r="G19" s="0" t="str">
        <f aca="false">VLOOKUP(D19,Level2_process_list[],5,0)</f>
        <v>MEC_L1</v>
      </c>
    </row>
    <row r="20" customFormat="false" ht="28.5" hidden="false" customHeight="false" outlineLevel="0" collapsed="false">
      <c r="A20" s="0" t="s">
        <v>281</v>
      </c>
      <c r="B20" s="94" t="s">
        <v>282</v>
      </c>
      <c r="C20" s="85" t="s">
        <v>283</v>
      </c>
      <c r="D20" s="94" t="s">
        <v>139</v>
      </c>
      <c r="E20" s="0" t="str">
        <f aca="false">VLOOKUP(D20,Level2_process_list[],2,0)</f>
        <v>SEP_L2</v>
      </c>
      <c r="F20" s="0" t="str">
        <f aca="false">VLOOKUP(D20,Level2_process_list[],4,0)</f>
        <v>mechanical recovery processes</v>
      </c>
      <c r="G20" s="0" t="str">
        <f aca="false">VLOOKUP(D20,Level2_process_list[],5,0)</f>
        <v>MEC_L1</v>
      </c>
    </row>
    <row r="21" customFormat="false" ht="32.25" hidden="false" customHeight="true" outlineLevel="0" collapsed="false">
      <c r="A21" s="0" t="s">
        <v>284</v>
      </c>
      <c r="B21" s="94" t="s">
        <v>285</v>
      </c>
      <c r="C21" s="85" t="s">
        <v>286</v>
      </c>
      <c r="D21" s="94" t="s">
        <v>139</v>
      </c>
      <c r="E21" s="0" t="str">
        <f aca="false">VLOOKUP(D21,Level2_process_list[],2,0)</f>
        <v>SEP_L2</v>
      </c>
      <c r="F21" s="0" t="str">
        <f aca="false">VLOOKUP(D21,Level2_process_list[],4,0)</f>
        <v>mechanical recovery processes</v>
      </c>
      <c r="G21" s="0" t="str">
        <f aca="false">VLOOKUP(D21,Level2_process_list[],5,0)</f>
        <v>MEC_L1</v>
      </c>
    </row>
    <row r="22" customFormat="false" ht="42.75" hidden="false" customHeight="false" outlineLevel="0" collapsed="false">
      <c r="A22" s="95" t="s">
        <v>287</v>
      </c>
      <c r="B22" s="94" t="s">
        <v>288</v>
      </c>
      <c r="C22" s="85" t="s">
        <v>289</v>
      </c>
      <c r="D22" s="94" t="s">
        <v>139</v>
      </c>
      <c r="E22" s="0" t="str">
        <f aca="false">VLOOKUP(D22,Level2_process_list[],2,0)</f>
        <v>SEP_L2</v>
      </c>
      <c r="F22" s="0" t="str">
        <f aca="false">VLOOKUP(D22,Level2_process_list[],4,0)</f>
        <v>mechanical recovery processes</v>
      </c>
      <c r="G22" s="0" t="str">
        <f aca="false">VLOOKUP(D22,Level2_process_list[],5,0)</f>
        <v>MEC_L1</v>
      </c>
    </row>
    <row r="23" customFormat="false" ht="28.5" hidden="false" customHeight="false" outlineLevel="0" collapsed="false">
      <c r="A23" s="0" t="s">
        <v>290</v>
      </c>
      <c r="B23" s="94" t="s">
        <v>291</v>
      </c>
      <c r="C23" s="85" t="s">
        <v>292</v>
      </c>
      <c r="D23" s="94" t="s">
        <v>139</v>
      </c>
      <c r="E23" s="0" t="str">
        <f aca="false">VLOOKUP(D23,Level2_process_list[],2,0)</f>
        <v>SEP_L2</v>
      </c>
      <c r="F23" s="0" t="str">
        <f aca="false">VLOOKUP(D23,Level2_process_list[],4,0)</f>
        <v>mechanical recovery processes</v>
      </c>
      <c r="G23" s="0" t="str">
        <f aca="false">VLOOKUP(D23,Level2_process_list[],5,0)</f>
        <v>MEC_L1</v>
      </c>
    </row>
    <row r="24" customFormat="false" ht="28.5" hidden="false" customHeight="false" outlineLevel="0" collapsed="false">
      <c r="A24" s="0" t="s">
        <v>293</v>
      </c>
      <c r="B24" s="94" t="s">
        <v>294</v>
      </c>
      <c r="C24" s="85" t="s">
        <v>295</v>
      </c>
      <c r="D24" s="94" t="s">
        <v>139</v>
      </c>
      <c r="E24" s="0" t="str">
        <f aca="false">VLOOKUP(D24,Level2_process_list[],2,0)</f>
        <v>SEP_L2</v>
      </c>
      <c r="F24" s="0" t="str">
        <f aca="false">VLOOKUP(D24,Level2_process_list[],4,0)</f>
        <v>mechanical recovery processes</v>
      </c>
      <c r="G24" s="0" t="str">
        <f aca="false">VLOOKUP(D24,Level2_process_list[],5,0)</f>
        <v>MEC_L1</v>
      </c>
    </row>
    <row r="25" customFormat="false" ht="28.5" hidden="false" customHeight="false" outlineLevel="0" collapsed="false">
      <c r="A25" s="0" t="s">
        <v>296</v>
      </c>
      <c r="B25" s="94" t="s">
        <v>297</v>
      </c>
      <c r="C25" s="85" t="s">
        <v>298</v>
      </c>
      <c r="D25" s="94" t="s">
        <v>139</v>
      </c>
      <c r="E25" s="0" t="str">
        <f aca="false">VLOOKUP(D25,Level2_process_list[],2,0)</f>
        <v>SEP_L2</v>
      </c>
      <c r="F25" s="0" t="str">
        <f aca="false">VLOOKUP(D25,Level2_process_list[],4,0)</f>
        <v>mechanical recovery processes</v>
      </c>
      <c r="G25" s="0" t="str">
        <f aca="false">VLOOKUP(D25,Level2_process_list[],5,0)</f>
        <v>MEC_L1</v>
      </c>
    </row>
    <row r="26" customFormat="false" ht="14.25" hidden="false" customHeight="false" outlineLevel="0" collapsed="false">
      <c r="A26" s="20" t="s">
        <v>299</v>
      </c>
      <c r="B26" s="94"/>
      <c r="D26" s="94"/>
      <c r="E26" s="0" t="e">
        <f aca="false">VLOOKUP(D26,Level2_process_list[],2,0)</f>
        <v>#N/A</v>
      </c>
      <c r="F26" s="0" t="e">
        <f aca="false">VLOOKUP(D26,Level2_process_list[],4,0)</f>
        <v>#N/A</v>
      </c>
      <c r="G26" s="0" t="e">
        <f aca="false">VLOOKUP(D26,Level2_process_list[],5,0)</f>
        <v>#N/A</v>
      </c>
    </row>
    <row r="27" customFormat="false" ht="14.25" hidden="false" customHeight="false" outlineLevel="0" collapsed="false">
      <c r="B27" s="94"/>
    </row>
    <row r="28" customFormat="false" ht="14.25" hidden="false" customHeight="false" outlineLevel="0" collapsed="false">
      <c r="B28" s="94"/>
    </row>
    <row r="29" customFormat="false" ht="14.25" hidden="false" customHeight="false" outlineLevel="0" collapsed="false">
      <c r="B29" s="94"/>
    </row>
    <row r="30" customFormat="false" ht="14.25" hidden="false" customHeight="false" outlineLevel="0" collapsed="false">
      <c r="B30" s="94"/>
    </row>
    <row r="31" customFormat="false" ht="14.25" hidden="false" customHeight="false" outlineLevel="0" collapsed="false">
      <c r="B31" s="94"/>
    </row>
    <row r="32" customFormat="false" ht="14.25" hidden="false" customHeight="false" outlineLevel="0" collapsed="false">
      <c r="B32" s="94"/>
    </row>
    <row r="33" customFormat="false" ht="14.25" hidden="false" customHeight="false" outlineLevel="0" collapsed="false">
      <c r="B33" s="94"/>
    </row>
    <row r="34" customFormat="false" ht="14.25" hidden="false" customHeight="false" outlineLevel="0" collapsed="false">
      <c r="B34" s="94"/>
    </row>
    <row r="35" customFormat="false" ht="14.25" hidden="false" customHeight="false" outlineLevel="0" collapsed="false">
      <c r="B35" s="94"/>
    </row>
    <row r="36" customFormat="false" ht="14.25" hidden="false" customHeight="false" outlineLevel="0" collapsed="false">
      <c r="B36" s="94"/>
    </row>
    <row r="37" customFormat="false" ht="14.25" hidden="false" customHeight="false" outlineLevel="0" collapsed="false">
      <c r="B37" s="94"/>
    </row>
    <row r="38" customFormat="false" ht="14.25" hidden="false" customHeight="false" outlineLevel="0" collapsed="false">
      <c r="B38" s="94"/>
    </row>
    <row r="39" customFormat="false" ht="14.25" hidden="false" customHeight="false" outlineLevel="0" collapsed="false">
      <c r="B39" s="94"/>
    </row>
    <row r="40" customFormat="false" ht="14.25" hidden="false" customHeight="false" outlineLevel="0" collapsed="false">
      <c r="B40" s="94"/>
    </row>
    <row r="41" customFormat="false" ht="14.25" hidden="false" customHeight="false" outlineLevel="0" collapsed="false">
      <c r="B41" s="94"/>
    </row>
    <row r="42" customFormat="false" ht="14.25" hidden="false" customHeight="false" outlineLevel="0" collapsed="false">
      <c r="B42" s="94"/>
    </row>
    <row r="43" customFormat="false" ht="14.25" hidden="false" customHeight="false" outlineLevel="0" collapsed="false">
      <c r="B43" s="94"/>
    </row>
    <row r="44" customFormat="false" ht="14.25" hidden="false" customHeight="false" outlineLevel="0" collapsed="false">
      <c r="B44" s="94"/>
    </row>
    <row r="45" customFormat="false" ht="14.25" hidden="false" customHeight="false" outlineLevel="0" collapsed="false">
      <c r="B45" s="94"/>
    </row>
    <row r="46" customFormat="false" ht="14.25" hidden="false" customHeight="false" outlineLevel="0" collapsed="false">
      <c r="B46" s="94"/>
    </row>
    <row r="47" customFormat="false" ht="14.25" hidden="false" customHeight="false" outlineLevel="0" collapsed="false">
      <c r="B47" s="94"/>
    </row>
    <row r="48" customFormat="false" ht="14.25" hidden="false" customHeight="false" outlineLevel="0" collapsed="false">
      <c r="B48" s="94"/>
    </row>
    <row r="49" customFormat="false" ht="14.25" hidden="false" customHeight="false" outlineLevel="0" collapsed="false">
      <c r="B49" s="94"/>
    </row>
    <row r="50" customFormat="false" ht="14.25" hidden="false" customHeight="false" outlineLevel="0" collapsed="false">
      <c r="B50" s="94"/>
    </row>
    <row r="51" customFormat="false" ht="14.25" hidden="false" customHeight="false" outlineLevel="0" collapsed="false">
      <c r="B51" s="94"/>
    </row>
    <row r="52" customFormat="false" ht="14.25" hidden="false" customHeight="false" outlineLevel="0" collapsed="false">
      <c r="B52" s="94"/>
    </row>
    <row r="53" customFormat="false" ht="14.25" hidden="false" customHeight="false" outlineLevel="0" collapsed="false">
      <c r="B53" s="94"/>
    </row>
    <row r="54" customFormat="false" ht="14.25" hidden="false" customHeight="false" outlineLevel="0" collapsed="false">
      <c r="B54" s="94"/>
    </row>
    <row r="55" customFormat="false" ht="14.25" hidden="false" customHeight="false" outlineLevel="0" collapsed="false">
      <c r="B55" s="94"/>
    </row>
    <row r="56" customFormat="false" ht="14.25" hidden="false" customHeight="false" outlineLevel="0" collapsed="false">
      <c r="B56" s="94"/>
    </row>
    <row r="57" customFormat="false" ht="14.25" hidden="false" customHeight="false" outlineLevel="0" collapsed="false">
      <c r="B57" s="94"/>
    </row>
    <row r="58" customFormat="false" ht="14.25" hidden="false" customHeight="false" outlineLevel="0" collapsed="false">
      <c r="B58" s="94"/>
    </row>
    <row r="59" customFormat="false" ht="14.25" hidden="false" customHeight="false" outlineLevel="0" collapsed="false">
      <c r="B59" s="94"/>
    </row>
    <row r="60" customFormat="false" ht="14.25" hidden="false" customHeight="false" outlineLevel="0" collapsed="false">
      <c r="B60" s="94"/>
    </row>
    <row r="61" customFormat="false" ht="14.25" hidden="false" customHeight="false" outlineLevel="0" collapsed="false">
      <c r="B61" s="94"/>
    </row>
    <row r="62" customFormat="false" ht="14.25" hidden="false" customHeight="false" outlineLevel="0" collapsed="false">
      <c r="B62" s="94"/>
    </row>
    <row r="63" customFormat="false" ht="14.25" hidden="false" customHeight="false" outlineLevel="0" collapsed="false">
      <c r="B63" s="94"/>
    </row>
    <row r="64" customFormat="false" ht="14.25" hidden="false" customHeight="false" outlineLevel="0" collapsed="false">
      <c r="B64" s="94"/>
    </row>
    <row r="65" customFormat="false" ht="14.25" hidden="false" customHeight="false" outlineLevel="0" collapsed="false">
      <c r="B65" s="94"/>
    </row>
    <row r="66" customFormat="false" ht="14.25" hidden="false" customHeight="false" outlineLevel="0" collapsed="false">
      <c r="B66" s="94"/>
    </row>
    <row r="67" customFormat="false" ht="14.25" hidden="false" customHeight="false" outlineLevel="0" collapsed="false">
      <c r="B67" s="94"/>
    </row>
    <row r="68" customFormat="false" ht="14.25" hidden="false" customHeight="false" outlineLevel="0" collapsed="false">
      <c r="B68" s="94"/>
    </row>
    <row r="69" customFormat="false" ht="14.25" hidden="false" customHeight="false" outlineLevel="0" collapsed="false">
      <c r="B69" s="94"/>
    </row>
    <row r="70" customFormat="false" ht="14.25" hidden="false" customHeight="false" outlineLevel="0" collapsed="false">
      <c r="B70" s="94"/>
    </row>
    <row r="71" customFormat="false" ht="14.25" hidden="false" customHeight="false" outlineLevel="0" collapsed="false">
      <c r="B71" s="94"/>
    </row>
    <row r="72" customFormat="false" ht="14.25" hidden="false" customHeight="false" outlineLevel="0" collapsed="false">
      <c r="B72" s="94"/>
    </row>
    <row r="73" customFormat="false" ht="14.25" hidden="false" customHeight="false" outlineLevel="0" collapsed="false">
      <c r="B73" s="94"/>
    </row>
    <row r="74" customFormat="false" ht="14.25" hidden="false" customHeight="false" outlineLevel="0" collapsed="false">
      <c r="B74" s="94"/>
    </row>
    <row r="75" customFormat="false" ht="14.25" hidden="false" customHeight="false" outlineLevel="0" collapsed="false">
      <c r="B75" s="94"/>
    </row>
    <row r="76" customFormat="false" ht="14.25" hidden="false" customHeight="false" outlineLevel="0" collapsed="false">
      <c r="B76" s="94"/>
    </row>
    <row r="77" customFormat="false" ht="14.25" hidden="false" customHeight="false" outlineLevel="0" collapsed="false">
      <c r="B77" s="94"/>
    </row>
    <row r="78" customFormat="false" ht="14.25" hidden="false" customHeight="false" outlineLevel="0" collapsed="false">
      <c r="B78" s="94"/>
    </row>
    <row r="79" customFormat="false" ht="14.25" hidden="false" customHeight="false" outlineLevel="0" collapsed="false">
      <c r="B79" s="94"/>
    </row>
    <row r="80" customFormat="false" ht="14.25" hidden="false" customHeight="false" outlineLevel="0" collapsed="false">
      <c r="B80" s="94"/>
    </row>
    <row r="81" customFormat="false" ht="14.25" hidden="false" customHeight="false" outlineLevel="0" collapsed="false">
      <c r="B81" s="94"/>
    </row>
    <row r="82" customFormat="false" ht="14.25" hidden="false" customHeight="false" outlineLevel="0" collapsed="false">
      <c r="B82" s="94"/>
    </row>
    <row r="83" customFormat="false" ht="14.25" hidden="false" customHeight="false" outlineLevel="0" collapsed="false">
      <c r="B83" s="94"/>
    </row>
    <row r="84" customFormat="false" ht="14.25" hidden="false" customHeight="false" outlineLevel="0" collapsed="false">
      <c r="B84" s="94"/>
    </row>
    <row r="85" customFormat="false" ht="14.25" hidden="false" customHeight="false" outlineLevel="0" collapsed="false">
      <c r="B85" s="94"/>
    </row>
    <row r="86" customFormat="false" ht="14.25" hidden="false" customHeight="false" outlineLevel="0" collapsed="false">
      <c r="B86" s="94"/>
    </row>
    <row r="87" customFormat="false" ht="14.25" hidden="false" customHeight="false" outlineLevel="0" collapsed="false">
      <c r="B87" s="94"/>
    </row>
    <row r="88" customFormat="false" ht="14.25" hidden="false" customHeight="false" outlineLevel="0" collapsed="false">
      <c r="B88" s="94"/>
    </row>
    <row r="89" customFormat="false" ht="14.25" hidden="false" customHeight="false" outlineLevel="0" collapsed="false">
      <c r="B89" s="94"/>
    </row>
    <row r="90" customFormat="false" ht="14.25" hidden="false" customHeight="false" outlineLevel="0" collapsed="false">
      <c r="B90" s="94"/>
    </row>
    <row r="91" customFormat="false" ht="14.25" hidden="false" customHeight="false" outlineLevel="0" collapsed="false">
      <c r="B91" s="94"/>
    </row>
    <row r="92" customFormat="false" ht="14.25" hidden="false" customHeight="false" outlineLevel="0" collapsed="false">
      <c r="B92" s="94"/>
    </row>
    <row r="93" customFormat="false" ht="14.25" hidden="false" customHeight="false" outlineLevel="0" collapsed="false">
      <c r="B93" s="94"/>
    </row>
    <row r="94" customFormat="false" ht="14.25" hidden="false" customHeight="false" outlineLevel="0" collapsed="false">
      <c r="B94" s="94"/>
    </row>
    <row r="95" customFormat="false" ht="14.25" hidden="false" customHeight="false" outlineLevel="0" collapsed="false">
      <c r="B95" s="94"/>
    </row>
    <row r="96" customFormat="false" ht="14.25" hidden="false" customHeight="false" outlineLevel="0" collapsed="false">
      <c r="B96" s="94"/>
    </row>
    <row r="97" customFormat="false" ht="14.25" hidden="false" customHeight="false" outlineLevel="0" collapsed="false">
      <c r="B97" s="94"/>
    </row>
    <row r="98" customFormat="false" ht="14.25" hidden="false" customHeight="false" outlineLevel="0" collapsed="false">
      <c r="B98" s="94"/>
    </row>
    <row r="99" customFormat="false" ht="14.25" hidden="false" customHeight="false" outlineLevel="0" collapsed="false">
      <c r="B99" s="94"/>
    </row>
    <row r="100" customFormat="false" ht="14.25" hidden="false" customHeight="false" outlineLevel="0" collapsed="false">
      <c r="B100" s="94"/>
    </row>
    <row r="101" customFormat="false" ht="14.25" hidden="false" customHeight="false" outlineLevel="0" collapsed="false">
      <c r="B101" s="94"/>
    </row>
    <row r="102" customFormat="false" ht="14.25" hidden="false" customHeight="false" outlineLevel="0" collapsed="false">
      <c r="B102" s="94"/>
    </row>
    <row r="103" customFormat="false" ht="14.25" hidden="false" customHeight="false" outlineLevel="0" collapsed="false">
      <c r="B103" s="94"/>
    </row>
    <row r="104" customFormat="false" ht="14.25" hidden="false" customHeight="false" outlineLevel="0" collapsed="false">
      <c r="B104" s="94"/>
    </row>
    <row r="105" customFormat="false" ht="14.25" hidden="false" customHeight="false" outlineLevel="0" collapsed="false">
      <c r="B105" s="94"/>
    </row>
    <row r="106" customFormat="false" ht="14.25" hidden="false" customHeight="false" outlineLevel="0" collapsed="false">
      <c r="B106" s="94"/>
    </row>
    <row r="107" customFormat="false" ht="14.25" hidden="false" customHeight="false" outlineLevel="0" collapsed="false">
      <c r="B107" s="94"/>
    </row>
    <row r="108" customFormat="false" ht="14.25" hidden="false" customHeight="false" outlineLevel="0" collapsed="false">
      <c r="B108" s="94"/>
    </row>
    <row r="109" customFormat="false" ht="14.25" hidden="false" customHeight="false" outlineLevel="0" collapsed="false">
      <c r="B109" s="94"/>
    </row>
    <row r="110" customFormat="false" ht="14.25" hidden="false" customHeight="false" outlineLevel="0" collapsed="false">
      <c r="B110" s="94"/>
    </row>
    <row r="111" customFormat="false" ht="14.25" hidden="false" customHeight="false" outlineLevel="0" collapsed="false">
      <c r="B111" s="94"/>
    </row>
    <row r="112" customFormat="false" ht="14.25" hidden="false" customHeight="false" outlineLevel="0" collapsed="false">
      <c r="B112" s="94"/>
    </row>
    <row r="113" customFormat="false" ht="14.25" hidden="false" customHeight="false" outlineLevel="0" collapsed="false">
      <c r="B113" s="94"/>
    </row>
    <row r="114" customFormat="false" ht="14.25" hidden="false" customHeight="false" outlineLevel="0" collapsed="false">
      <c r="B114" s="94"/>
    </row>
    <row r="115" customFormat="false" ht="14.25" hidden="false" customHeight="false" outlineLevel="0" collapsed="false">
      <c r="B115" s="94"/>
    </row>
    <row r="116" customFormat="false" ht="14.25" hidden="false" customHeight="false" outlineLevel="0" collapsed="false">
      <c r="B116" s="94"/>
    </row>
    <row r="117" customFormat="false" ht="14.25" hidden="false" customHeight="false" outlineLevel="0" collapsed="false">
      <c r="B117" s="94"/>
    </row>
    <row r="118" customFormat="false" ht="14.25" hidden="false" customHeight="false" outlineLevel="0" collapsed="false">
      <c r="B118" s="94"/>
    </row>
    <row r="119" customFormat="false" ht="14.25" hidden="false" customHeight="false" outlineLevel="0" collapsed="false">
      <c r="B119" s="94"/>
    </row>
    <row r="120" customFormat="false" ht="14.25" hidden="false" customHeight="false" outlineLevel="0" collapsed="false">
      <c r="B120" s="94"/>
    </row>
    <row r="121" customFormat="false" ht="14.25" hidden="false" customHeight="false" outlineLevel="0" collapsed="false">
      <c r="B121" s="94"/>
    </row>
    <row r="122" customFormat="false" ht="14.25" hidden="false" customHeight="false" outlineLevel="0" collapsed="false">
      <c r="B122" s="94"/>
    </row>
    <row r="123" customFormat="false" ht="14.25" hidden="false" customHeight="false" outlineLevel="0" collapsed="false">
      <c r="B123" s="94"/>
    </row>
    <row r="124" customFormat="false" ht="14.25" hidden="false" customHeight="false" outlineLevel="0" collapsed="false">
      <c r="B124" s="94"/>
    </row>
    <row r="125" customFormat="false" ht="14.25" hidden="false" customHeight="false" outlineLevel="0" collapsed="false">
      <c r="B125" s="94"/>
    </row>
    <row r="126" customFormat="false" ht="14.25" hidden="false" customHeight="false" outlineLevel="0" collapsed="false">
      <c r="B126" s="94"/>
    </row>
    <row r="127" customFormat="false" ht="14.25" hidden="false" customHeight="false" outlineLevel="0" collapsed="false">
      <c r="B127" s="94"/>
    </row>
    <row r="128" customFormat="false" ht="14.25" hidden="false" customHeight="false" outlineLevel="0" collapsed="false">
      <c r="B128" s="94"/>
    </row>
    <row r="129" customFormat="false" ht="14.25" hidden="false" customHeight="false" outlineLevel="0" collapsed="false">
      <c r="B129" s="94"/>
    </row>
    <row r="130" customFormat="false" ht="14.25" hidden="false" customHeight="false" outlineLevel="0" collapsed="false">
      <c r="B130" s="94"/>
    </row>
    <row r="131" customFormat="false" ht="14.25" hidden="false" customHeight="false" outlineLevel="0" collapsed="false">
      <c r="B131" s="94"/>
    </row>
    <row r="132" customFormat="false" ht="14.25" hidden="false" customHeight="false" outlineLevel="0" collapsed="false">
      <c r="B132" s="94"/>
    </row>
    <row r="133" customFormat="false" ht="14.25" hidden="false" customHeight="false" outlineLevel="0" collapsed="false">
      <c r="B133" s="94"/>
    </row>
    <row r="134" customFormat="false" ht="14.25" hidden="false" customHeight="false" outlineLevel="0" collapsed="false">
      <c r="B134" s="94"/>
    </row>
    <row r="135" customFormat="false" ht="14.25" hidden="false" customHeight="false" outlineLevel="0" collapsed="false">
      <c r="B135" s="94"/>
    </row>
    <row r="136" customFormat="false" ht="14.25" hidden="false" customHeight="false" outlineLevel="0" collapsed="false">
      <c r="B136" s="94"/>
    </row>
    <row r="137" customFormat="false" ht="14.25" hidden="false" customHeight="false" outlineLevel="0" collapsed="false">
      <c r="B137" s="94"/>
    </row>
    <row r="138" customFormat="false" ht="14.25" hidden="false" customHeight="false" outlineLevel="0" collapsed="false">
      <c r="B138" s="94"/>
    </row>
    <row r="139" customFormat="false" ht="14.25" hidden="false" customHeight="false" outlineLevel="0" collapsed="false">
      <c r="B139" s="94"/>
    </row>
    <row r="140" customFormat="false" ht="14.25" hidden="false" customHeight="false" outlineLevel="0" collapsed="false">
      <c r="B140" s="94"/>
    </row>
    <row r="141" customFormat="false" ht="14.25" hidden="false" customHeight="false" outlineLevel="0" collapsed="false">
      <c r="B141" s="94"/>
    </row>
    <row r="142" customFormat="false" ht="14.25" hidden="false" customHeight="false" outlineLevel="0" collapsed="false">
      <c r="B142" s="94"/>
    </row>
    <row r="143" customFormat="false" ht="14.25" hidden="false" customHeight="false" outlineLevel="0" collapsed="false">
      <c r="B143" s="94"/>
    </row>
    <row r="144" customFormat="false" ht="14.25" hidden="false" customHeight="false" outlineLevel="0" collapsed="false">
      <c r="B144" s="94"/>
    </row>
    <row r="145" customFormat="false" ht="14.25" hidden="false" customHeight="false" outlineLevel="0" collapsed="false">
      <c r="B145" s="94"/>
    </row>
    <row r="146" customFormat="false" ht="14.25" hidden="false" customHeight="false" outlineLevel="0" collapsed="false">
      <c r="B146" s="94"/>
    </row>
    <row r="147" customFormat="false" ht="14.25" hidden="false" customHeight="false" outlineLevel="0" collapsed="false">
      <c r="B147" s="94"/>
    </row>
    <row r="148" customFormat="false" ht="14.25" hidden="false" customHeight="false" outlineLevel="0" collapsed="false">
      <c r="B148" s="94"/>
    </row>
    <row r="149" customFormat="false" ht="14.25" hidden="false" customHeight="false" outlineLevel="0" collapsed="false">
      <c r="B149" s="94"/>
    </row>
    <row r="150" customFormat="false" ht="14.25" hidden="false" customHeight="false" outlineLevel="0" collapsed="false">
      <c r="B150" s="94"/>
    </row>
    <row r="151" customFormat="false" ht="14.25" hidden="false" customHeight="false" outlineLevel="0" collapsed="false">
      <c r="B151" s="94"/>
    </row>
    <row r="152" customFormat="false" ht="14.25" hidden="false" customHeight="false" outlineLevel="0" collapsed="false">
      <c r="B152" s="94"/>
    </row>
    <row r="153" customFormat="false" ht="14.25" hidden="false" customHeight="false" outlineLevel="0" collapsed="false">
      <c r="B153" s="94"/>
    </row>
    <row r="154" customFormat="false" ht="14.25" hidden="false" customHeight="false" outlineLevel="0" collapsed="false">
      <c r="B154" s="94"/>
    </row>
    <row r="155" customFormat="false" ht="14.25" hidden="false" customHeight="false" outlineLevel="0" collapsed="false">
      <c r="B155" s="94"/>
    </row>
    <row r="156" customFormat="false" ht="14.25" hidden="false" customHeight="false" outlineLevel="0" collapsed="false">
      <c r="B156" s="94"/>
    </row>
    <row r="157" customFormat="false" ht="14.25" hidden="false" customHeight="false" outlineLevel="0" collapsed="false">
      <c r="B157" s="94"/>
    </row>
    <row r="158" customFormat="false" ht="14.25" hidden="false" customHeight="false" outlineLevel="0" collapsed="false">
      <c r="B158" s="94"/>
    </row>
    <row r="159" customFormat="false" ht="14.25" hidden="false" customHeight="false" outlineLevel="0" collapsed="false">
      <c r="B159" s="94"/>
    </row>
    <row r="160" customFormat="false" ht="14.25" hidden="false" customHeight="false" outlineLevel="0" collapsed="false">
      <c r="B160" s="94"/>
    </row>
    <row r="161" customFormat="false" ht="14.25" hidden="false" customHeight="false" outlineLevel="0" collapsed="false">
      <c r="B161" s="94"/>
    </row>
    <row r="162" customFormat="false" ht="14.25" hidden="false" customHeight="false" outlineLevel="0" collapsed="false">
      <c r="B162" s="94"/>
    </row>
    <row r="163" customFormat="false" ht="14.25" hidden="false" customHeight="false" outlineLevel="0" collapsed="false">
      <c r="B163" s="94"/>
    </row>
    <row r="164" customFormat="false" ht="14.25" hidden="false" customHeight="false" outlineLevel="0" collapsed="false">
      <c r="B164" s="94"/>
    </row>
    <row r="165" customFormat="false" ht="14.25" hidden="false" customHeight="false" outlineLevel="0" collapsed="false">
      <c r="B165" s="94"/>
    </row>
    <row r="166" customFormat="false" ht="14.25" hidden="false" customHeight="false" outlineLevel="0" collapsed="false">
      <c r="B166" s="94"/>
    </row>
    <row r="167" customFormat="false" ht="14.25" hidden="false" customHeight="false" outlineLevel="0" collapsed="false">
      <c r="B167" s="94"/>
    </row>
    <row r="168" customFormat="false" ht="14.25" hidden="false" customHeight="false" outlineLevel="0" collapsed="false">
      <c r="B168" s="94"/>
    </row>
    <row r="169" customFormat="false" ht="14.25" hidden="false" customHeight="false" outlineLevel="0" collapsed="false">
      <c r="B169" s="94"/>
    </row>
    <row r="170" customFormat="false" ht="14.25" hidden="false" customHeight="false" outlineLevel="0" collapsed="false">
      <c r="B170" s="94"/>
    </row>
    <row r="171" customFormat="false" ht="14.25" hidden="false" customHeight="false" outlineLevel="0" collapsed="false">
      <c r="B171" s="94"/>
    </row>
    <row r="172" customFormat="false" ht="14.25" hidden="false" customHeight="false" outlineLevel="0" collapsed="false">
      <c r="B172" s="94"/>
    </row>
    <row r="173" customFormat="false" ht="14.25" hidden="false" customHeight="false" outlineLevel="0" collapsed="false">
      <c r="B173" s="94"/>
    </row>
    <row r="174" customFormat="false" ht="14.25" hidden="false" customHeight="false" outlineLevel="0" collapsed="false">
      <c r="B174" s="94"/>
    </row>
    <row r="175" customFormat="false" ht="14.25" hidden="false" customHeight="false" outlineLevel="0" collapsed="false">
      <c r="B175" s="94"/>
    </row>
    <row r="176" customFormat="false" ht="14.25" hidden="false" customHeight="false" outlineLevel="0" collapsed="false">
      <c r="B176" s="94"/>
    </row>
    <row r="177" customFormat="false" ht="14.25" hidden="false" customHeight="false" outlineLevel="0" collapsed="false">
      <c r="B177" s="94"/>
    </row>
    <row r="178" customFormat="false" ht="14.25" hidden="false" customHeight="false" outlineLevel="0" collapsed="false">
      <c r="B178" s="94"/>
    </row>
    <row r="179" customFormat="false" ht="14.25" hidden="false" customHeight="false" outlineLevel="0" collapsed="false">
      <c r="B179" s="94"/>
    </row>
    <row r="180" customFormat="false" ht="14.25" hidden="false" customHeight="false" outlineLevel="0" collapsed="false">
      <c r="B180" s="94"/>
    </row>
    <row r="181" customFormat="false" ht="14.25" hidden="false" customHeight="false" outlineLevel="0" collapsed="false">
      <c r="B181" s="94"/>
    </row>
    <row r="182" customFormat="false" ht="14.25" hidden="false" customHeight="false" outlineLevel="0" collapsed="false">
      <c r="B182" s="94"/>
    </row>
    <row r="183" customFormat="false" ht="14.25" hidden="false" customHeight="false" outlineLevel="0" collapsed="false">
      <c r="B183" s="94"/>
    </row>
    <row r="184" customFormat="false" ht="14.25" hidden="false" customHeight="false" outlineLevel="0" collapsed="false">
      <c r="B184" s="94"/>
    </row>
    <row r="185" customFormat="false" ht="14.25" hidden="false" customHeight="false" outlineLevel="0" collapsed="false">
      <c r="B185" s="94"/>
    </row>
    <row r="186" customFormat="false" ht="14.25" hidden="false" customHeight="false" outlineLevel="0" collapsed="false">
      <c r="B186" s="94"/>
    </row>
    <row r="187" customFormat="false" ht="14.25" hidden="false" customHeight="false" outlineLevel="0" collapsed="false">
      <c r="B187" s="94"/>
    </row>
    <row r="188" customFormat="false" ht="14.25" hidden="false" customHeight="false" outlineLevel="0" collapsed="false">
      <c r="B188" s="94"/>
    </row>
    <row r="189" customFormat="false" ht="14.25" hidden="false" customHeight="false" outlineLevel="0" collapsed="false">
      <c r="B189" s="94"/>
    </row>
    <row r="190" customFormat="false" ht="14.25" hidden="false" customHeight="false" outlineLevel="0" collapsed="false">
      <c r="B190" s="94"/>
    </row>
    <row r="191" customFormat="false" ht="14.25" hidden="false" customHeight="false" outlineLevel="0" collapsed="false">
      <c r="B191" s="94"/>
    </row>
    <row r="192" customFormat="false" ht="14.25" hidden="false" customHeight="false" outlineLevel="0" collapsed="false">
      <c r="B192" s="94"/>
    </row>
    <row r="193" customFormat="false" ht="14.25" hidden="false" customHeight="false" outlineLevel="0" collapsed="false">
      <c r="B193" s="94"/>
    </row>
    <row r="194" customFormat="false" ht="14.25" hidden="false" customHeight="false" outlineLevel="0" collapsed="false">
      <c r="B194" s="94"/>
    </row>
    <row r="195" customFormat="false" ht="14.25" hidden="false" customHeight="false" outlineLevel="0" collapsed="false">
      <c r="B195" s="94"/>
    </row>
    <row r="196" customFormat="false" ht="14.25" hidden="false" customHeight="false" outlineLevel="0" collapsed="false">
      <c r="B196" s="94"/>
    </row>
    <row r="197" customFormat="false" ht="14.25" hidden="false" customHeight="false" outlineLevel="0" collapsed="false">
      <c r="B197" s="94"/>
    </row>
    <row r="198" customFormat="false" ht="14.25" hidden="false" customHeight="false" outlineLevel="0" collapsed="false">
      <c r="B198" s="94"/>
    </row>
    <row r="199" customFormat="false" ht="14.25" hidden="false" customHeight="false" outlineLevel="0" collapsed="false">
      <c r="B199" s="94"/>
    </row>
    <row r="200" customFormat="false" ht="14.25" hidden="false" customHeight="false" outlineLevel="0" collapsed="false">
      <c r="B200" s="94"/>
    </row>
    <row r="201" customFormat="false" ht="14.25" hidden="false" customHeight="false" outlineLevel="0" collapsed="false">
      <c r="B201" s="94"/>
    </row>
    <row r="202" customFormat="false" ht="14.25" hidden="false" customHeight="false" outlineLevel="0" collapsed="false">
      <c r="B202" s="94"/>
    </row>
    <row r="203" customFormat="false" ht="14.25" hidden="false" customHeight="false" outlineLevel="0" collapsed="false">
      <c r="B203" s="94"/>
    </row>
    <row r="204" customFormat="false" ht="14.25" hidden="false" customHeight="false" outlineLevel="0" collapsed="false">
      <c r="B204" s="94"/>
    </row>
    <row r="205" customFormat="false" ht="14.25" hidden="false" customHeight="false" outlineLevel="0" collapsed="false">
      <c r="B205" s="94"/>
    </row>
    <row r="206" customFormat="false" ht="14.25" hidden="false" customHeight="false" outlineLevel="0" collapsed="false">
      <c r="B206" s="94"/>
    </row>
    <row r="207" customFormat="false" ht="14.25" hidden="false" customHeight="false" outlineLevel="0" collapsed="false">
      <c r="B207" s="94"/>
    </row>
    <row r="208" customFormat="false" ht="14.25" hidden="false" customHeight="false" outlineLevel="0" collapsed="false">
      <c r="B208" s="94"/>
    </row>
    <row r="209" customFormat="false" ht="14.25" hidden="false" customHeight="false" outlineLevel="0" collapsed="false">
      <c r="B209" s="94"/>
    </row>
    <row r="210" customFormat="false" ht="14.25" hidden="false" customHeight="false" outlineLevel="0" collapsed="false">
      <c r="B210" s="94"/>
    </row>
    <row r="211" customFormat="false" ht="14.25" hidden="false" customHeight="false" outlineLevel="0" collapsed="false">
      <c r="B211" s="94"/>
    </row>
    <row r="212" customFormat="false" ht="14.25" hidden="false" customHeight="false" outlineLevel="0" collapsed="false">
      <c r="B212" s="94"/>
    </row>
    <row r="213" customFormat="false" ht="14.25" hidden="false" customHeight="false" outlineLevel="0" collapsed="false">
      <c r="B213" s="94"/>
    </row>
    <row r="214" customFormat="false" ht="14.25" hidden="false" customHeight="false" outlineLevel="0" collapsed="false">
      <c r="B214" s="94"/>
    </row>
    <row r="215" customFormat="false" ht="14.25" hidden="false" customHeight="false" outlineLevel="0" collapsed="false">
      <c r="B215" s="94"/>
    </row>
    <row r="216" customFormat="false" ht="14.25" hidden="false" customHeight="false" outlineLevel="0" collapsed="false">
      <c r="B216" s="94"/>
    </row>
    <row r="217" customFormat="false" ht="14.25" hidden="false" customHeight="false" outlineLevel="0" collapsed="false">
      <c r="B217" s="94"/>
    </row>
    <row r="218" customFormat="false" ht="14.25" hidden="false" customHeight="false" outlineLevel="0" collapsed="false">
      <c r="B218" s="94"/>
    </row>
    <row r="219" customFormat="false" ht="14.25" hidden="false" customHeight="false" outlineLevel="0" collapsed="false">
      <c r="B219" s="94"/>
    </row>
    <row r="220" customFormat="false" ht="14.25" hidden="false" customHeight="false" outlineLevel="0" collapsed="false">
      <c r="B220" s="94"/>
    </row>
    <row r="221" customFormat="false" ht="14.25" hidden="false" customHeight="false" outlineLevel="0" collapsed="false">
      <c r="B221" s="94"/>
    </row>
    <row r="222" customFormat="false" ht="14.25" hidden="false" customHeight="false" outlineLevel="0" collapsed="false">
      <c r="B222" s="94"/>
    </row>
    <row r="223" customFormat="false" ht="14.25" hidden="false" customHeight="false" outlineLevel="0" collapsed="false">
      <c r="B223" s="94"/>
    </row>
    <row r="224" customFormat="false" ht="14.25" hidden="false" customHeight="false" outlineLevel="0" collapsed="false">
      <c r="B224" s="94"/>
    </row>
    <row r="225" customFormat="false" ht="14.25" hidden="false" customHeight="false" outlineLevel="0" collapsed="false">
      <c r="B225" s="94"/>
    </row>
    <row r="226" customFormat="false" ht="14.25" hidden="false" customHeight="false" outlineLevel="0" collapsed="false">
      <c r="B226" s="94"/>
    </row>
    <row r="227" customFormat="false" ht="14.25" hidden="false" customHeight="false" outlineLevel="0" collapsed="false">
      <c r="B227" s="94"/>
    </row>
    <row r="228" customFormat="false" ht="14.25" hidden="false" customHeight="false" outlineLevel="0" collapsed="false">
      <c r="B228" s="94"/>
    </row>
    <row r="229" customFormat="false" ht="14.25" hidden="false" customHeight="false" outlineLevel="0" collapsed="false">
      <c r="B229" s="94"/>
    </row>
    <row r="230" customFormat="false" ht="14.25" hidden="false" customHeight="false" outlineLevel="0" collapsed="false">
      <c r="B230" s="94"/>
    </row>
    <row r="231" customFormat="false" ht="14.25" hidden="false" customHeight="false" outlineLevel="0" collapsed="false">
      <c r="B231" s="94"/>
    </row>
    <row r="232" customFormat="false" ht="14.25" hidden="false" customHeight="false" outlineLevel="0" collapsed="false">
      <c r="B232" s="94"/>
    </row>
    <row r="233" customFormat="false" ht="14.25" hidden="false" customHeight="false" outlineLevel="0" collapsed="false">
      <c r="B233" s="94"/>
    </row>
    <row r="234" customFormat="false" ht="14.25" hidden="false" customHeight="false" outlineLevel="0" collapsed="false">
      <c r="B234" s="94"/>
    </row>
    <row r="235" customFormat="false" ht="14.25" hidden="false" customHeight="false" outlineLevel="0" collapsed="false">
      <c r="B235" s="94"/>
    </row>
    <row r="236" customFormat="false" ht="14.25" hidden="false" customHeight="false" outlineLevel="0" collapsed="false">
      <c r="B236" s="94"/>
    </row>
    <row r="237" customFormat="false" ht="14.25" hidden="false" customHeight="false" outlineLevel="0" collapsed="false">
      <c r="B237" s="94"/>
    </row>
    <row r="238" customFormat="false" ht="14.25" hidden="false" customHeight="false" outlineLevel="0" collapsed="false">
      <c r="B238" s="94"/>
    </row>
    <row r="239" customFormat="false" ht="14.25" hidden="false" customHeight="false" outlineLevel="0" collapsed="false">
      <c r="B239" s="94"/>
    </row>
    <row r="240" customFormat="false" ht="14.25" hidden="false" customHeight="false" outlineLevel="0" collapsed="false">
      <c r="B240" s="94"/>
    </row>
    <row r="241" customFormat="false" ht="14.25" hidden="false" customHeight="false" outlineLevel="0" collapsed="false">
      <c r="B241" s="94"/>
    </row>
    <row r="242" customFormat="false" ht="14.25" hidden="false" customHeight="false" outlineLevel="0" collapsed="false">
      <c r="B242" s="94"/>
    </row>
    <row r="243" customFormat="false" ht="14.25" hidden="false" customHeight="false" outlineLevel="0" collapsed="false">
      <c r="B243" s="94"/>
    </row>
    <row r="244" customFormat="false" ht="14.25" hidden="false" customHeight="false" outlineLevel="0" collapsed="false">
      <c r="B244" s="94"/>
    </row>
    <row r="245" customFormat="false" ht="14.25" hidden="false" customHeight="false" outlineLevel="0" collapsed="false">
      <c r="B245" s="94"/>
    </row>
    <row r="246" customFormat="false" ht="14.25" hidden="false" customHeight="false" outlineLevel="0" collapsed="false">
      <c r="B246" s="94"/>
    </row>
    <row r="247" customFormat="false" ht="14.25" hidden="false" customHeight="false" outlineLevel="0" collapsed="false">
      <c r="B247" s="94"/>
    </row>
    <row r="248" customFormat="false" ht="14.25" hidden="false" customHeight="false" outlineLevel="0" collapsed="false">
      <c r="B248" s="94"/>
    </row>
    <row r="249" customFormat="false" ht="14.25" hidden="false" customHeight="false" outlineLevel="0" collapsed="false">
      <c r="B249" s="94"/>
    </row>
    <row r="250" customFormat="false" ht="14.25" hidden="false" customHeight="false" outlineLevel="0" collapsed="false">
      <c r="B250" s="94"/>
    </row>
    <row r="251" customFormat="false" ht="14.25" hidden="false" customHeight="false" outlineLevel="0" collapsed="false">
      <c r="B251" s="94"/>
    </row>
    <row r="252" customFormat="false" ht="14.25" hidden="false" customHeight="false" outlineLevel="0" collapsed="false">
      <c r="B252" s="94"/>
    </row>
    <row r="253" customFormat="false" ht="14.25" hidden="false" customHeight="false" outlineLevel="0" collapsed="false">
      <c r="B253" s="94"/>
    </row>
    <row r="254" customFormat="false" ht="14.25" hidden="false" customHeight="false" outlineLevel="0" collapsed="false">
      <c r="B254" s="94"/>
    </row>
    <row r="255" customFormat="false" ht="14.25" hidden="false" customHeight="false" outlineLevel="0" collapsed="false">
      <c r="B255" s="94"/>
    </row>
    <row r="256" customFormat="false" ht="14.25" hidden="false" customHeight="false" outlineLevel="0" collapsed="false">
      <c r="B256" s="94"/>
    </row>
    <row r="257" customFormat="false" ht="14.25" hidden="false" customHeight="false" outlineLevel="0" collapsed="false">
      <c r="B257" s="94"/>
    </row>
    <row r="258" customFormat="false" ht="14.25" hidden="false" customHeight="false" outlineLevel="0" collapsed="false">
      <c r="B258" s="94"/>
    </row>
    <row r="259" customFormat="false" ht="14.25" hidden="false" customHeight="false" outlineLevel="0" collapsed="false">
      <c r="B259" s="94"/>
    </row>
    <row r="260" customFormat="false" ht="14.25" hidden="false" customHeight="false" outlineLevel="0" collapsed="false">
      <c r="B260" s="94"/>
    </row>
    <row r="261" customFormat="false" ht="14.25" hidden="false" customHeight="false" outlineLevel="0" collapsed="false">
      <c r="B261" s="94"/>
    </row>
    <row r="262" customFormat="false" ht="14.25" hidden="false" customHeight="false" outlineLevel="0" collapsed="false">
      <c r="B262" s="94"/>
    </row>
    <row r="263" customFormat="false" ht="14.25" hidden="false" customHeight="false" outlineLevel="0" collapsed="false">
      <c r="B263" s="94"/>
    </row>
    <row r="264" customFormat="false" ht="14.25" hidden="false" customHeight="false" outlineLevel="0" collapsed="false">
      <c r="B264" s="94"/>
    </row>
    <row r="265" customFormat="false" ht="14.25" hidden="false" customHeight="false" outlineLevel="0" collapsed="false">
      <c r="B265" s="94"/>
    </row>
    <row r="266" customFormat="false" ht="14.25" hidden="false" customHeight="false" outlineLevel="0" collapsed="false">
      <c r="B266" s="94"/>
    </row>
    <row r="267" customFormat="false" ht="14.25" hidden="false" customHeight="false" outlineLevel="0" collapsed="false">
      <c r="B267" s="94"/>
    </row>
    <row r="268" customFormat="false" ht="14.25" hidden="false" customHeight="false" outlineLevel="0" collapsed="false">
      <c r="B268" s="94"/>
    </row>
    <row r="269" customFormat="false" ht="14.25" hidden="false" customHeight="false" outlineLevel="0" collapsed="false">
      <c r="B269" s="94"/>
    </row>
    <row r="270" customFormat="false" ht="14.25" hidden="false" customHeight="false" outlineLevel="0" collapsed="false">
      <c r="B270" s="94"/>
    </row>
    <row r="271" customFormat="false" ht="14.25" hidden="false" customHeight="false" outlineLevel="0" collapsed="false">
      <c r="B271" s="94"/>
    </row>
    <row r="272" customFormat="false" ht="14.25" hidden="false" customHeight="false" outlineLevel="0" collapsed="false">
      <c r="B272" s="94"/>
    </row>
    <row r="273" customFormat="false" ht="14.25" hidden="false" customHeight="false" outlineLevel="0" collapsed="false">
      <c r="B273" s="94"/>
    </row>
    <row r="274" customFormat="false" ht="14.25" hidden="false" customHeight="false" outlineLevel="0" collapsed="false">
      <c r="B274" s="94"/>
    </row>
    <row r="275" customFormat="false" ht="14.25" hidden="false" customHeight="false" outlineLevel="0" collapsed="false">
      <c r="B275" s="94"/>
    </row>
    <row r="276" customFormat="false" ht="14.25" hidden="false" customHeight="false" outlineLevel="0" collapsed="false">
      <c r="B276" s="94"/>
    </row>
    <row r="277" customFormat="false" ht="14.25" hidden="false" customHeight="false" outlineLevel="0" collapsed="false">
      <c r="B277" s="94"/>
    </row>
    <row r="278" customFormat="false" ht="14.25" hidden="false" customHeight="false" outlineLevel="0" collapsed="false">
      <c r="B278" s="94"/>
    </row>
    <row r="279" customFormat="false" ht="14.25" hidden="false" customHeight="false" outlineLevel="0" collapsed="false">
      <c r="B279" s="94"/>
    </row>
    <row r="280" customFormat="false" ht="14.25" hidden="false" customHeight="false" outlineLevel="0" collapsed="false">
      <c r="B280" s="94"/>
    </row>
    <row r="281" customFormat="false" ht="14.25" hidden="false" customHeight="false" outlineLevel="0" collapsed="false">
      <c r="B281" s="94"/>
    </row>
    <row r="282" customFormat="false" ht="14.25" hidden="false" customHeight="false" outlineLevel="0" collapsed="false">
      <c r="B282" s="94"/>
    </row>
    <row r="283" customFormat="false" ht="14.25" hidden="false" customHeight="false" outlineLevel="0" collapsed="false">
      <c r="B283" s="94"/>
    </row>
    <row r="284" customFormat="false" ht="14.25" hidden="false" customHeight="false" outlineLevel="0" collapsed="false">
      <c r="B284" s="94"/>
    </row>
    <row r="285" customFormat="false" ht="14.25" hidden="false" customHeight="false" outlineLevel="0" collapsed="false">
      <c r="B285" s="94"/>
    </row>
    <row r="286" customFormat="false" ht="14.25" hidden="false" customHeight="false" outlineLevel="0" collapsed="false">
      <c r="B286" s="94"/>
    </row>
    <row r="287" customFormat="false" ht="14.25" hidden="false" customHeight="false" outlineLevel="0" collapsed="false">
      <c r="B287" s="94"/>
    </row>
    <row r="288" customFormat="false" ht="14.25" hidden="false" customHeight="false" outlineLevel="0" collapsed="false">
      <c r="B288" s="94"/>
    </row>
    <row r="289" customFormat="false" ht="14.25" hidden="false" customHeight="false" outlineLevel="0" collapsed="false">
      <c r="B289" s="94"/>
    </row>
    <row r="290" customFormat="false" ht="14.25" hidden="false" customHeight="false" outlineLevel="0" collapsed="false">
      <c r="B290" s="94"/>
    </row>
    <row r="291" customFormat="false" ht="14.25" hidden="false" customHeight="false" outlineLevel="0" collapsed="false">
      <c r="B291" s="94"/>
    </row>
    <row r="292" customFormat="false" ht="14.25" hidden="false" customHeight="false" outlineLevel="0" collapsed="false">
      <c r="B292" s="94"/>
    </row>
    <row r="293" customFormat="false" ht="14.25" hidden="false" customHeight="false" outlineLevel="0" collapsed="false">
      <c r="B293" s="94"/>
    </row>
    <row r="294" customFormat="false" ht="14.25" hidden="false" customHeight="false" outlineLevel="0" collapsed="false">
      <c r="B294" s="94"/>
    </row>
    <row r="295" customFormat="false" ht="14.25" hidden="false" customHeight="false" outlineLevel="0" collapsed="false">
      <c r="B295" s="94"/>
    </row>
    <row r="296" customFormat="false" ht="14.25" hidden="false" customHeight="false" outlineLevel="0" collapsed="false">
      <c r="B296" s="94"/>
    </row>
    <row r="297" customFormat="false" ht="14.25" hidden="false" customHeight="false" outlineLevel="0" collapsed="false">
      <c r="B297" s="94"/>
    </row>
    <row r="298" customFormat="false" ht="14.25" hidden="false" customHeight="false" outlineLevel="0" collapsed="false">
      <c r="B298" s="94"/>
    </row>
    <row r="299" customFormat="false" ht="14.25" hidden="false" customHeight="false" outlineLevel="0" collapsed="false">
      <c r="B299" s="94"/>
    </row>
    <row r="300" customFormat="false" ht="14.25" hidden="false" customHeight="false" outlineLevel="0" collapsed="false">
      <c r="B300" s="94"/>
    </row>
    <row r="301" customFormat="false" ht="14.25" hidden="false" customHeight="false" outlineLevel="0" collapsed="false">
      <c r="B301" s="94"/>
    </row>
    <row r="302" customFormat="false" ht="14.25" hidden="false" customHeight="false" outlineLevel="0" collapsed="false">
      <c r="B302" s="94"/>
    </row>
    <row r="303" customFormat="false" ht="14.25" hidden="false" customHeight="false" outlineLevel="0" collapsed="false">
      <c r="B303" s="94"/>
    </row>
    <row r="304" customFormat="false" ht="14.25" hidden="false" customHeight="false" outlineLevel="0" collapsed="false">
      <c r="B304" s="94"/>
    </row>
    <row r="305" customFormat="false" ht="14.25" hidden="false" customHeight="false" outlineLevel="0" collapsed="false">
      <c r="B305" s="94"/>
    </row>
    <row r="306" customFormat="false" ht="14.25" hidden="false" customHeight="false" outlineLevel="0" collapsed="false">
      <c r="B306" s="94"/>
    </row>
    <row r="307" customFormat="false" ht="14.25" hidden="false" customHeight="false" outlineLevel="0" collapsed="false">
      <c r="B307" s="94"/>
    </row>
    <row r="308" customFormat="false" ht="14.25" hidden="false" customHeight="false" outlineLevel="0" collapsed="false">
      <c r="B308" s="94"/>
    </row>
    <row r="309" customFormat="false" ht="14.25" hidden="false" customHeight="false" outlineLevel="0" collapsed="false">
      <c r="B309" s="94"/>
    </row>
    <row r="310" customFormat="false" ht="14.25" hidden="false" customHeight="false" outlineLevel="0" collapsed="false">
      <c r="B310" s="94"/>
    </row>
    <row r="311" customFormat="false" ht="14.25" hidden="false" customHeight="false" outlineLevel="0" collapsed="false">
      <c r="B311" s="94"/>
    </row>
    <row r="312" customFormat="false" ht="14.25" hidden="false" customHeight="false" outlineLevel="0" collapsed="false">
      <c r="B312" s="94"/>
    </row>
    <row r="313" customFormat="false" ht="14.25" hidden="false" customHeight="false" outlineLevel="0" collapsed="false">
      <c r="B313" s="94"/>
    </row>
    <row r="314" customFormat="false" ht="14.25" hidden="false" customHeight="false" outlineLevel="0" collapsed="false">
      <c r="B314" s="94"/>
    </row>
    <row r="315" customFormat="false" ht="14.25" hidden="false" customHeight="false" outlineLevel="0" collapsed="false">
      <c r="B315" s="94"/>
    </row>
    <row r="316" customFormat="false" ht="14.25" hidden="false" customHeight="false" outlineLevel="0" collapsed="false">
      <c r="B316" s="94"/>
    </row>
    <row r="317" customFormat="false" ht="14.25" hidden="false" customHeight="false" outlineLevel="0" collapsed="false">
      <c r="B317" s="94"/>
    </row>
    <row r="318" customFormat="false" ht="14.25" hidden="false" customHeight="false" outlineLevel="0" collapsed="false">
      <c r="B318" s="94"/>
    </row>
    <row r="319" customFormat="false" ht="14.25" hidden="false" customHeight="false" outlineLevel="0" collapsed="false">
      <c r="B319" s="94"/>
    </row>
    <row r="320" customFormat="false" ht="14.25" hidden="false" customHeight="false" outlineLevel="0" collapsed="false">
      <c r="B320" s="94"/>
    </row>
    <row r="321" customFormat="false" ht="14.25" hidden="false" customHeight="false" outlineLevel="0" collapsed="false">
      <c r="B321" s="94"/>
    </row>
    <row r="322" customFormat="false" ht="14.25" hidden="false" customHeight="false" outlineLevel="0" collapsed="false">
      <c r="B322" s="94"/>
    </row>
    <row r="323" customFormat="false" ht="14.25" hidden="false" customHeight="false" outlineLevel="0" collapsed="false">
      <c r="B323" s="94"/>
    </row>
    <row r="324" customFormat="false" ht="14.25" hidden="false" customHeight="false" outlineLevel="0" collapsed="false">
      <c r="B324" s="94"/>
    </row>
    <row r="325" customFormat="false" ht="14.25" hidden="false" customHeight="false" outlineLevel="0" collapsed="false">
      <c r="B325" s="94"/>
    </row>
    <row r="326" customFormat="false" ht="14.25" hidden="false" customHeight="false" outlineLevel="0" collapsed="false">
      <c r="B326" s="94"/>
    </row>
    <row r="327" customFormat="false" ht="14.25" hidden="false" customHeight="false" outlineLevel="0" collapsed="false">
      <c r="B327" s="94"/>
    </row>
    <row r="328" customFormat="false" ht="14.25" hidden="false" customHeight="false" outlineLevel="0" collapsed="false">
      <c r="B328" s="94"/>
    </row>
    <row r="329" customFormat="false" ht="14.25" hidden="false" customHeight="false" outlineLevel="0" collapsed="false">
      <c r="B329" s="94"/>
    </row>
    <row r="330" customFormat="false" ht="14.25" hidden="false" customHeight="false" outlineLevel="0" collapsed="false">
      <c r="B330" s="94"/>
    </row>
    <row r="331" customFormat="false" ht="14.25" hidden="false" customHeight="false" outlineLevel="0" collapsed="false">
      <c r="B331" s="94"/>
    </row>
    <row r="332" customFormat="false" ht="14.25" hidden="false" customHeight="false" outlineLevel="0" collapsed="false">
      <c r="B332" s="94"/>
    </row>
    <row r="333" customFormat="false" ht="14.25" hidden="false" customHeight="false" outlineLevel="0" collapsed="false">
      <c r="B333" s="94"/>
    </row>
    <row r="334" customFormat="false" ht="14.25" hidden="false" customHeight="false" outlineLevel="0" collapsed="false">
      <c r="B334" s="94"/>
    </row>
    <row r="335" customFormat="false" ht="14.25" hidden="false" customHeight="false" outlineLevel="0" collapsed="false">
      <c r="B335" s="94"/>
    </row>
    <row r="336" customFormat="false" ht="14.25" hidden="false" customHeight="false" outlineLevel="0" collapsed="false">
      <c r="B336" s="94"/>
    </row>
    <row r="337" customFormat="false" ht="14.25" hidden="false" customHeight="false" outlineLevel="0" collapsed="false">
      <c r="B337" s="94"/>
    </row>
    <row r="338" customFormat="false" ht="14.25" hidden="false" customHeight="false" outlineLevel="0" collapsed="false">
      <c r="B338" s="94"/>
    </row>
    <row r="339" customFormat="false" ht="14.25" hidden="false" customHeight="false" outlineLevel="0" collapsed="false">
      <c r="B339" s="94"/>
    </row>
    <row r="340" customFormat="false" ht="14.25" hidden="false" customHeight="false" outlineLevel="0" collapsed="false">
      <c r="B340" s="94"/>
    </row>
    <row r="341" customFormat="false" ht="14.25" hidden="false" customHeight="false" outlineLevel="0" collapsed="false">
      <c r="B341" s="94"/>
    </row>
    <row r="342" customFormat="false" ht="14.25" hidden="false" customHeight="false" outlineLevel="0" collapsed="false">
      <c r="B342" s="94"/>
    </row>
    <row r="343" customFormat="false" ht="14.25" hidden="false" customHeight="false" outlineLevel="0" collapsed="false">
      <c r="B343" s="94"/>
    </row>
    <row r="344" customFormat="false" ht="14.25" hidden="false" customHeight="false" outlineLevel="0" collapsed="false">
      <c r="B344" s="94"/>
    </row>
    <row r="345" customFormat="false" ht="14.25" hidden="false" customHeight="false" outlineLevel="0" collapsed="false">
      <c r="B345" s="94"/>
    </row>
    <row r="346" customFormat="false" ht="14.25" hidden="false" customHeight="false" outlineLevel="0" collapsed="false">
      <c r="B346" s="94"/>
    </row>
    <row r="347" customFormat="false" ht="14.25" hidden="false" customHeight="false" outlineLevel="0" collapsed="false">
      <c r="B347" s="94"/>
    </row>
    <row r="348" customFormat="false" ht="14.25" hidden="false" customHeight="false" outlineLevel="0" collapsed="false">
      <c r="B348" s="94"/>
    </row>
    <row r="349" customFormat="false" ht="14.25" hidden="false" customHeight="false" outlineLevel="0" collapsed="false">
      <c r="B349" s="94"/>
    </row>
    <row r="350" customFormat="false" ht="14.25" hidden="false" customHeight="false" outlineLevel="0" collapsed="false">
      <c r="B350" s="94"/>
    </row>
    <row r="351" customFormat="false" ht="14.25" hidden="false" customHeight="false" outlineLevel="0" collapsed="false">
      <c r="B351" s="94"/>
    </row>
    <row r="352" customFormat="false" ht="14.25" hidden="false" customHeight="false" outlineLevel="0" collapsed="false">
      <c r="B352" s="94"/>
    </row>
    <row r="353" customFormat="false" ht="14.25" hidden="false" customHeight="false" outlineLevel="0" collapsed="false">
      <c r="B353" s="94"/>
    </row>
    <row r="354" customFormat="false" ht="14.25" hidden="false" customHeight="false" outlineLevel="0" collapsed="false">
      <c r="B354" s="94"/>
    </row>
    <row r="355" customFormat="false" ht="14.25" hidden="false" customHeight="false" outlineLevel="0" collapsed="false">
      <c r="B355" s="94"/>
    </row>
    <row r="356" customFormat="false" ht="14.25" hidden="false" customHeight="false" outlineLevel="0" collapsed="false">
      <c r="B356" s="94"/>
    </row>
    <row r="357" customFormat="false" ht="14.25" hidden="false" customHeight="false" outlineLevel="0" collapsed="false">
      <c r="B357" s="94"/>
    </row>
    <row r="358" customFormat="false" ht="14.25" hidden="false" customHeight="false" outlineLevel="0" collapsed="false">
      <c r="B358" s="94"/>
    </row>
    <row r="359" customFormat="false" ht="14.25" hidden="false" customHeight="false" outlineLevel="0" collapsed="false">
      <c r="B359" s="94"/>
    </row>
    <row r="360" customFormat="false" ht="14.25" hidden="false" customHeight="false" outlineLevel="0" collapsed="false">
      <c r="B360" s="94"/>
    </row>
    <row r="361" customFormat="false" ht="14.25" hidden="false" customHeight="false" outlineLevel="0" collapsed="false">
      <c r="B361" s="94"/>
    </row>
    <row r="362" customFormat="false" ht="14.25" hidden="false" customHeight="false" outlineLevel="0" collapsed="false">
      <c r="B362" s="94"/>
    </row>
    <row r="363" customFormat="false" ht="14.25" hidden="false" customHeight="false" outlineLevel="0" collapsed="false">
      <c r="B363" s="94"/>
    </row>
    <row r="364" customFormat="false" ht="14.25" hidden="false" customHeight="false" outlineLevel="0" collapsed="false">
      <c r="B364" s="94"/>
    </row>
    <row r="365" customFormat="false" ht="14.25" hidden="false" customHeight="false" outlineLevel="0" collapsed="false">
      <c r="B365" s="94"/>
    </row>
    <row r="366" customFormat="false" ht="14.25" hidden="false" customHeight="false" outlineLevel="0" collapsed="false">
      <c r="B366" s="94"/>
    </row>
    <row r="367" customFormat="false" ht="14.25" hidden="false" customHeight="false" outlineLevel="0" collapsed="false">
      <c r="B367" s="94"/>
    </row>
    <row r="368" customFormat="false" ht="14.25" hidden="false" customHeight="false" outlineLevel="0" collapsed="false">
      <c r="B368" s="94"/>
    </row>
    <row r="369" customFormat="false" ht="14.25" hidden="false" customHeight="false" outlineLevel="0" collapsed="false">
      <c r="B369" s="94"/>
    </row>
    <row r="370" customFormat="false" ht="14.25" hidden="false" customHeight="false" outlineLevel="0" collapsed="false">
      <c r="B370" s="94"/>
    </row>
    <row r="371" customFormat="false" ht="14.25" hidden="false" customHeight="false" outlineLevel="0" collapsed="false">
      <c r="B371" s="94"/>
    </row>
    <row r="372" customFormat="false" ht="14.25" hidden="false" customHeight="false" outlineLevel="0" collapsed="false">
      <c r="B372" s="94"/>
    </row>
    <row r="373" customFormat="false" ht="14.25" hidden="false" customHeight="false" outlineLevel="0" collapsed="false">
      <c r="B373" s="94"/>
    </row>
    <row r="374" customFormat="false" ht="14.25" hidden="false" customHeight="false" outlineLevel="0" collapsed="false">
      <c r="B374" s="94"/>
    </row>
    <row r="375" customFormat="false" ht="14.25" hidden="false" customHeight="false" outlineLevel="0" collapsed="false">
      <c r="B375" s="94"/>
    </row>
    <row r="376" customFormat="false" ht="14.25" hidden="false" customHeight="false" outlineLevel="0" collapsed="false">
      <c r="B376" s="94"/>
    </row>
    <row r="377" customFormat="false" ht="14.25" hidden="false" customHeight="false" outlineLevel="0" collapsed="false">
      <c r="B377" s="94"/>
    </row>
    <row r="378" customFormat="false" ht="14.25" hidden="false" customHeight="false" outlineLevel="0" collapsed="false">
      <c r="B378" s="94"/>
    </row>
    <row r="379" customFormat="false" ht="14.25" hidden="false" customHeight="false" outlineLevel="0" collapsed="false">
      <c r="B379" s="94"/>
    </row>
    <row r="380" customFormat="false" ht="14.25" hidden="false" customHeight="false" outlineLevel="0" collapsed="false">
      <c r="B380" s="94"/>
    </row>
    <row r="381" customFormat="false" ht="14.25" hidden="false" customHeight="false" outlineLevel="0" collapsed="false">
      <c r="B381" s="94"/>
    </row>
    <row r="382" customFormat="false" ht="14.25" hidden="false" customHeight="false" outlineLevel="0" collapsed="false">
      <c r="B382" s="94"/>
    </row>
    <row r="383" customFormat="false" ht="14.25" hidden="false" customHeight="false" outlineLevel="0" collapsed="false">
      <c r="B383" s="94"/>
    </row>
    <row r="384" customFormat="false" ht="14.25" hidden="false" customHeight="false" outlineLevel="0" collapsed="false">
      <c r="B384" s="94"/>
    </row>
    <row r="385" customFormat="false" ht="14.25" hidden="false" customHeight="false" outlineLevel="0" collapsed="false">
      <c r="B385" s="94"/>
    </row>
    <row r="386" customFormat="false" ht="14.25" hidden="false" customHeight="false" outlineLevel="0" collapsed="false">
      <c r="B386" s="94"/>
    </row>
    <row r="387" customFormat="false" ht="14.25" hidden="false" customHeight="false" outlineLevel="0" collapsed="false">
      <c r="B387" s="94"/>
    </row>
    <row r="388" customFormat="false" ht="14.25" hidden="false" customHeight="false" outlineLevel="0" collapsed="false">
      <c r="B388" s="94"/>
    </row>
    <row r="389" customFormat="false" ht="14.25" hidden="false" customHeight="false" outlineLevel="0" collapsed="false">
      <c r="B389" s="94"/>
    </row>
    <row r="390" customFormat="false" ht="14.25" hidden="false" customHeight="false" outlineLevel="0" collapsed="false">
      <c r="B390" s="94"/>
    </row>
    <row r="391" customFormat="false" ht="14.25" hidden="false" customHeight="false" outlineLevel="0" collapsed="false">
      <c r="B391" s="94"/>
    </row>
    <row r="392" customFormat="false" ht="14.25" hidden="false" customHeight="false" outlineLevel="0" collapsed="false">
      <c r="B392" s="94"/>
    </row>
    <row r="393" customFormat="false" ht="14.25" hidden="false" customHeight="false" outlineLevel="0" collapsed="false">
      <c r="B393" s="94"/>
    </row>
    <row r="394" customFormat="false" ht="14.25" hidden="false" customHeight="false" outlineLevel="0" collapsed="false">
      <c r="B394" s="94"/>
    </row>
    <row r="395" customFormat="false" ht="14.25" hidden="false" customHeight="false" outlineLevel="0" collapsed="false">
      <c r="B395" s="94"/>
    </row>
    <row r="396" customFormat="false" ht="14.25" hidden="false" customHeight="false" outlineLevel="0" collapsed="false">
      <c r="B396" s="94"/>
    </row>
    <row r="397" customFormat="false" ht="14.25" hidden="false" customHeight="false" outlineLevel="0" collapsed="false">
      <c r="B397" s="94"/>
    </row>
    <row r="398" customFormat="false" ht="14.25" hidden="false" customHeight="false" outlineLevel="0" collapsed="false">
      <c r="B398" s="94"/>
    </row>
    <row r="399" customFormat="false" ht="14.25" hidden="false" customHeight="false" outlineLevel="0" collapsed="false">
      <c r="B399" s="94"/>
    </row>
    <row r="400" customFormat="false" ht="14.25" hidden="false" customHeight="false" outlineLevel="0" collapsed="false">
      <c r="B400" s="94"/>
    </row>
    <row r="401" customFormat="false" ht="14.25" hidden="false" customHeight="false" outlineLevel="0" collapsed="false">
      <c r="B401" s="94"/>
    </row>
    <row r="402" customFormat="false" ht="14.25" hidden="false" customHeight="false" outlineLevel="0" collapsed="false">
      <c r="B402" s="94"/>
    </row>
    <row r="403" customFormat="false" ht="14.25" hidden="false" customHeight="false" outlineLevel="0" collapsed="false">
      <c r="B403" s="94"/>
    </row>
    <row r="404" customFormat="false" ht="14.25" hidden="false" customHeight="false" outlineLevel="0" collapsed="false">
      <c r="B404" s="94"/>
    </row>
    <row r="405" customFormat="false" ht="14.25" hidden="false" customHeight="false" outlineLevel="0" collapsed="false">
      <c r="B405" s="94"/>
    </row>
    <row r="406" customFormat="false" ht="14.25" hidden="false" customHeight="false" outlineLevel="0" collapsed="false">
      <c r="B406" s="94"/>
    </row>
    <row r="407" customFormat="false" ht="14.25" hidden="false" customHeight="false" outlineLevel="0" collapsed="false">
      <c r="B407" s="94"/>
    </row>
    <row r="408" customFormat="false" ht="14.25" hidden="false" customHeight="false" outlineLevel="0" collapsed="false">
      <c r="B408" s="94"/>
    </row>
    <row r="409" customFormat="false" ht="14.25" hidden="false" customHeight="false" outlineLevel="0" collapsed="false">
      <c r="B409" s="94"/>
    </row>
    <row r="410" customFormat="false" ht="14.25" hidden="false" customHeight="false" outlineLevel="0" collapsed="false">
      <c r="B410" s="94"/>
    </row>
    <row r="411" customFormat="false" ht="14.25" hidden="false" customHeight="false" outlineLevel="0" collapsed="false">
      <c r="B411" s="94"/>
    </row>
    <row r="412" customFormat="false" ht="14.25" hidden="false" customHeight="false" outlineLevel="0" collapsed="false">
      <c r="B412" s="94"/>
    </row>
    <row r="413" customFormat="false" ht="14.25" hidden="false" customHeight="false" outlineLevel="0" collapsed="false">
      <c r="B413" s="94"/>
    </row>
    <row r="414" customFormat="false" ht="14.25" hidden="false" customHeight="false" outlineLevel="0" collapsed="false">
      <c r="B414" s="94"/>
    </row>
    <row r="415" customFormat="false" ht="14.25" hidden="false" customHeight="false" outlineLevel="0" collapsed="false">
      <c r="B415" s="94"/>
    </row>
    <row r="416" customFormat="false" ht="14.25" hidden="false" customHeight="false" outlineLevel="0" collapsed="false">
      <c r="B416" s="94"/>
    </row>
    <row r="417" customFormat="false" ht="14.25" hidden="false" customHeight="false" outlineLevel="0" collapsed="false">
      <c r="B417" s="94"/>
    </row>
    <row r="418" customFormat="false" ht="14.25" hidden="false" customHeight="false" outlineLevel="0" collapsed="false">
      <c r="B418" s="94"/>
    </row>
    <row r="419" customFormat="false" ht="14.25" hidden="false" customHeight="false" outlineLevel="0" collapsed="false">
      <c r="B419" s="94"/>
    </row>
    <row r="420" customFormat="false" ht="14.25" hidden="false" customHeight="false" outlineLevel="0" collapsed="false">
      <c r="B420" s="94"/>
    </row>
    <row r="421" customFormat="false" ht="14.25" hidden="false" customHeight="false" outlineLevel="0" collapsed="false">
      <c r="B421" s="94"/>
    </row>
    <row r="422" customFormat="false" ht="14.25" hidden="false" customHeight="false" outlineLevel="0" collapsed="false">
      <c r="B422" s="94"/>
    </row>
    <row r="423" customFormat="false" ht="14.25" hidden="false" customHeight="false" outlineLevel="0" collapsed="false">
      <c r="B423" s="94"/>
    </row>
    <row r="424" customFormat="false" ht="14.25" hidden="false" customHeight="false" outlineLevel="0" collapsed="false">
      <c r="B424" s="94"/>
    </row>
    <row r="425" customFormat="false" ht="14.25" hidden="false" customHeight="false" outlineLevel="0" collapsed="false">
      <c r="B425" s="94"/>
    </row>
    <row r="426" customFormat="false" ht="14.25" hidden="false" customHeight="false" outlineLevel="0" collapsed="false">
      <c r="B426" s="94"/>
    </row>
    <row r="427" customFormat="false" ht="14.25" hidden="false" customHeight="false" outlineLevel="0" collapsed="false">
      <c r="B427" s="94"/>
    </row>
    <row r="428" customFormat="false" ht="14.25" hidden="false" customHeight="false" outlineLevel="0" collapsed="false">
      <c r="B428" s="94"/>
    </row>
    <row r="429" customFormat="false" ht="14.25" hidden="false" customHeight="false" outlineLevel="0" collapsed="false">
      <c r="B429" s="94"/>
    </row>
    <row r="430" customFormat="false" ht="14.25" hidden="false" customHeight="false" outlineLevel="0" collapsed="false">
      <c r="B430" s="94"/>
    </row>
    <row r="431" customFormat="false" ht="14.25" hidden="false" customHeight="false" outlineLevel="0" collapsed="false">
      <c r="B431" s="94"/>
    </row>
    <row r="432" customFormat="false" ht="14.25" hidden="false" customHeight="false" outlineLevel="0" collapsed="false">
      <c r="B432" s="94"/>
    </row>
    <row r="433" customFormat="false" ht="14.25" hidden="false" customHeight="false" outlineLevel="0" collapsed="false">
      <c r="B433" s="94"/>
    </row>
    <row r="434" customFormat="false" ht="14.25" hidden="false" customHeight="false" outlineLevel="0" collapsed="false">
      <c r="B434" s="94"/>
    </row>
    <row r="435" customFormat="false" ht="14.25" hidden="false" customHeight="false" outlineLevel="0" collapsed="false">
      <c r="B435" s="94"/>
    </row>
    <row r="436" customFormat="false" ht="14.25" hidden="false" customHeight="false" outlineLevel="0" collapsed="false">
      <c r="B436" s="94"/>
    </row>
    <row r="437" customFormat="false" ht="14.25" hidden="false" customHeight="false" outlineLevel="0" collapsed="false">
      <c r="B437" s="94"/>
    </row>
    <row r="438" customFormat="false" ht="14.25" hidden="false" customHeight="false" outlineLevel="0" collapsed="false">
      <c r="B438" s="94"/>
    </row>
    <row r="439" customFormat="false" ht="14.25" hidden="false" customHeight="false" outlineLevel="0" collapsed="false">
      <c r="B439" s="94"/>
    </row>
    <row r="440" customFormat="false" ht="14.25" hidden="false" customHeight="false" outlineLevel="0" collapsed="false">
      <c r="B440" s="94"/>
    </row>
    <row r="441" customFormat="false" ht="14.25" hidden="false" customHeight="false" outlineLevel="0" collapsed="false">
      <c r="B441" s="94"/>
    </row>
    <row r="442" customFormat="false" ht="14.25" hidden="false" customHeight="false" outlineLevel="0" collapsed="false">
      <c r="B442" s="94"/>
    </row>
    <row r="443" customFormat="false" ht="14.25" hidden="false" customHeight="false" outlineLevel="0" collapsed="false">
      <c r="B443" s="94"/>
    </row>
    <row r="444" customFormat="false" ht="14.25" hidden="false" customHeight="false" outlineLevel="0" collapsed="false">
      <c r="B444" s="94"/>
    </row>
    <row r="445" customFormat="false" ht="14.25" hidden="false" customHeight="false" outlineLevel="0" collapsed="false">
      <c r="B445" s="94"/>
    </row>
    <row r="446" customFormat="false" ht="14.25" hidden="false" customHeight="false" outlineLevel="0" collapsed="false">
      <c r="B446" s="94"/>
    </row>
    <row r="447" customFormat="false" ht="14.25" hidden="false" customHeight="false" outlineLevel="0" collapsed="false">
      <c r="B447" s="94"/>
    </row>
    <row r="448" customFormat="false" ht="14.25" hidden="false" customHeight="false" outlineLevel="0" collapsed="false">
      <c r="B448" s="94"/>
    </row>
    <row r="449" customFormat="false" ht="14.25" hidden="false" customHeight="false" outlineLevel="0" collapsed="false">
      <c r="B449" s="94"/>
    </row>
    <row r="450" customFormat="false" ht="14.25" hidden="false" customHeight="false" outlineLevel="0" collapsed="false">
      <c r="B450" s="94"/>
    </row>
    <row r="451" customFormat="false" ht="14.25" hidden="false" customHeight="false" outlineLevel="0" collapsed="false">
      <c r="B451" s="94"/>
    </row>
    <row r="452" customFormat="false" ht="14.25" hidden="false" customHeight="false" outlineLevel="0" collapsed="false">
      <c r="B452" s="94"/>
    </row>
    <row r="453" customFormat="false" ht="14.25" hidden="false" customHeight="false" outlineLevel="0" collapsed="false">
      <c r="B453" s="94"/>
    </row>
    <row r="454" customFormat="false" ht="14.25" hidden="false" customHeight="false" outlineLevel="0" collapsed="false">
      <c r="B454" s="94"/>
    </row>
    <row r="455" customFormat="false" ht="14.25" hidden="false" customHeight="false" outlineLevel="0" collapsed="false">
      <c r="B455" s="94"/>
    </row>
    <row r="456" customFormat="false" ht="14.25" hidden="false" customHeight="false" outlineLevel="0" collapsed="false">
      <c r="B456" s="94"/>
    </row>
    <row r="457" customFormat="false" ht="14.25" hidden="false" customHeight="false" outlineLevel="0" collapsed="false">
      <c r="B457" s="94"/>
    </row>
    <row r="458" customFormat="false" ht="14.25" hidden="false" customHeight="false" outlineLevel="0" collapsed="false">
      <c r="B458" s="94"/>
    </row>
    <row r="459" customFormat="false" ht="14.25" hidden="false" customHeight="false" outlineLevel="0" collapsed="false">
      <c r="B459" s="94"/>
    </row>
    <row r="460" customFormat="false" ht="14.25" hidden="false" customHeight="false" outlineLevel="0" collapsed="false">
      <c r="B460" s="94"/>
    </row>
    <row r="461" customFormat="false" ht="14.25" hidden="false" customHeight="false" outlineLevel="0" collapsed="false">
      <c r="B461" s="94"/>
    </row>
    <row r="462" customFormat="false" ht="14.25" hidden="false" customHeight="false" outlineLevel="0" collapsed="false">
      <c r="B462" s="94"/>
    </row>
    <row r="463" customFormat="false" ht="14.25" hidden="false" customHeight="false" outlineLevel="0" collapsed="false">
      <c r="B463" s="94"/>
    </row>
    <row r="464" customFormat="false" ht="14.25" hidden="false" customHeight="false" outlineLevel="0" collapsed="false">
      <c r="B464" s="94"/>
    </row>
    <row r="465" customFormat="false" ht="14.25" hidden="false" customHeight="false" outlineLevel="0" collapsed="false">
      <c r="B465" s="94"/>
    </row>
    <row r="466" customFormat="false" ht="14.25" hidden="false" customHeight="false" outlineLevel="0" collapsed="false">
      <c r="B466" s="94"/>
    </row>
    <row r="467" customFormat="false" ht="14.25" hidden="false" customHeight="false" outlineLevel="0" collapsed="false">
      <c r="B467" s="94"/>
    </row>
    <row r="468" customFormat="false" ht="14.25" hidden="false" customHeight="false" outlineLevel="0" collapsed="false">
      <c r="B468" s="94"/>
    </row>
    <row r="469" customFormat="false" ht="14.25" hidden="false" customHeight="false" outlineLevel="0" collapsed="false">
      <c r="B469" s="94"/>
    </row>
    <row r="470" customFormat="false" ht="14.25" hidden="false" customHeight="false" outlineLevel="0" collapsed="false">
      <c r="B470" s="94"/>
    </row>
    <row r="471" customFormat="false" ht="14.25" hidden="false" customHeight="false" outlineLevel="0" collapsed="false">
      <c r="B471" s="94"/>
    </row>
    <row r="472" customFormat="false" ht="14.25" hidden="false" customHeight="false" outlineLevel="0" collapsed="false">
      <c r="B472" s="94"/>
    </row>
    <row r="473" customFormat="false" ht="14.25" hidden="false" customHeight="false" outlineLevel="0" collapsed="false">
      <c r="B473" s="94"/>
    </row>
    <row r="474" customFormat="false" ht="14.25" hidden="false" customHeight="false" outlineLevel="0" collapsed="false">
      <c r="B474" s="94"/>
    </row>
    <row r="475" customFormat="false" ht="14.25" hidden="false" customHeight="false" outlineLevel="0" collapsed="false">
      <c r="B475" s="94"/>
    </row>
    <row r="476" customFormat="false" ht="14.25" hidden="false" customHeight="false" outlineLevel="0" collapsed="false">
      <c r="B476" s="94"/>
    </row>
    <row r="477" customFormat="false" ht="14.25" hidden="false" customHeight="false" outlineLevel="0" collapsed="false">
      <c r="B477" s="94"/>
    </row>
    <row r="478" customFormat="false" ht="14.25" hidden="false" customHeight="false" outlineLevel="0" collapsed="false">
      <c r="B478" s="94"/>
    </row>
    <row r="479" customFormat="false" ht="14.25" hidden="false" customHeight="false" outlineLevel="0" collapsed="false">
      <c r="B479" s="94"/>
    </row>
    <row r="480" customFormat="false" ht="14.25" hidden="false" customHeight="false" outlineLevel="0" collapsed="false">
      <c r="B480" s="94"/>
    </row>
    <row r="481" customFormat="false" ht="14.25" hidden="false" customHeight="false" outlineLevel="0" collapsed="false">
      <c r="B481" s="94"/>
    </row>
    <row r="482" customFormat="false" ht="14.25" hidden="false" customHeight="false" outlineLevel="0" collapsed="false">
      <c r="B482" s="94"/>
    </row>
    <row r="483" customFormat="false" ht="14.25" hidden="false" customHeight="false" outlineLevel="0" collapsed="false">
      <c r="B483" s="94"/>
    </row>
    <row r="484" customFormat="false" ht="14.25" hidden="false" customHeight="false" outlineLevel="0" collapsed="false">
      <c r="B484" s="94"/>
    </row>
    <row r="485" customFormat="false" ht="14.25" hidden="false" customHeight="false" outlineLevel="0" collapsed="false">
      <c r="B485" s="94"/>
    </row>
    <row r="486" customFormat="false" ht="14.25" hidden="false" customHeight="false" outlineLevel="0" collapsed="false">
      <c r="B486" s="94"/>
    </row>
    <row r="487" customFormat="false" ht="14.25" hidden="false" customHeight="false" outlineLevel="0" collapsed="false">
      <c r="B487" s="94"/>
    </row>
    <row r="488" customFormat="false" ht="14.25" hidden="false" customHeight="false" outlineLevel="0" collapsed="false">
      <c r="B488" s="94"/>
    </row>
    <row r="489" customFormat="false" ht="14.25" hidden="false" customHeight="false" outlineLevel="0" collapsed="false">
      <c r="B489" s="94"/>
    </row>
    <row r="490" customFormat="false" ht="14.25" hidden="false" customHeight="false" outlineLevel="0" collapsed="false">
      <c r="B490" s="94"/>
    </row>
    <row r="491" customFormat="false" ht="14.25" hidden="false" customHeight="false" outlineLevel="0" collapsed="false">
      <c r="B491" s="94"/>
    </row>
    <row r="492" customFormat="false" ht="14.25" hidden="false" customHeight="false" outlineLevel="0" collapsed="false">
      <c r="B492" s="94"/>
    </row>
    <row r="493" customFormat="false" ht="14.25" hidden="false" customHeight="false" outlineLevel="0" collapsed="false">
      <c r="B493" s="94"/>
    </row>
    <row r="494" customFormat="false" ht="14.25" hidden="false" customHeight="false" outlineLevel="0" collapsed="false">
      <c r="B494" s="94"/>
    </row>
    <row r="495" customFormat="false" ht="14.25" hidden="false" customHeight="false" outlineLevel="0" collapsed="false">
      <c r="B495" s="94"/>
    </row>
    <row r="496" customFormat="false" ht="14.25" hidden="false" customHeight="false" outlineLevel="0" collapsed="false">
      <c r="B496" s="94"/>
    </row>
    <row r="497" customFormat="false" ht="14.25" hidden="false" customHeight="false" outlineLevel="0" collapsed="false">
      <c r="B497" s="94"/>
    </row>
    <row r="498" customFormat="false" ht="14.25" hidden="false" customHeight="false" outlineLevel="0" collapsed="false">
      <c r="B498" s="94"/>
    </row>
    <row r="499" customFormat="false" ht="14.25" hidden="false" customHeight="false" outlineLevel="0" collapsed="false">
      <c r="B499" s="94"/>
    </row>
  </sheetData>
  <dataValidations count="3">
    <dataValidation allowBlank="true" errorStyle="stop" operator="between" showDropDown="false" showErrorMessage="true" showInputMessage="true" sqref="B500:B999" type="custom">
      <formula1>COUNTIF($B$2:$B$499,B500)=1</formula1>
      <formula2>0</formula2>
    </dataValidation>
    <dataValidation allowBlank="true" error="The code already exists! Please create an individual code. " errorStyle="stop" errorTitle=":(" operator="between" showDropDown="false" showErrorMessage="true" showInputMessage="true" sqref="B2:B499" type="custom">
      <formula1>COUNTIF($B$2:$B$499,B2)=1</formula1>
      <formula2>0</formula2>
    </dataValidation>
    <dataValidation allowBlank="true" errorStyle="stop" operator="between" showDropDown="false" showErrorMessage="true" showInputMessage="true" sqref="D2:D26" type="list">
      <formula1>level2_dropdw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E8C2A1-9036-4242-A3A0-83A6DD22C786}"/>
</file>

<file path=customXml/itemProps2.xml><?xml version="1.0" encoding="utf-8"?>
<ds:datastoreItem xmlns:ds="http://schemas.openxmlformats.org/officeDocument/2006/customXml" ds:itemID="{FB66C1BE-A94D-4D5D-ADFD-CD9BADB63F3A}"/>
</file>

<file path=customXml/itemProps3.xml><?xml version="1.0" encoding="utf-8"?>
<ds:datastoreItem xmlns:ds="http://schemas.openxmlformats.org/officeDocument/2006/customXml" ds:itemID="{99EBEEF3-F852-4921-9FD0-98271BD9A225}"/>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2023-06-06T13:50:28Z</dcterms:created>
  <dc:creator/>
  <dc:description/>
  <dc:language>en-GB</dc:language>
  <cp:lastModifiedBy/>
  <dcterms:modified xsi:type="dcterms:W3CDTF">2023-07-25T09:33:58Z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